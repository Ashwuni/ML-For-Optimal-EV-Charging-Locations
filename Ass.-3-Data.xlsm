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unchicabhalla/Desktop/3B/MSCI 332/"/>
    </mc:Choice>
  </mc:AlternateContent>
  <xr:revisionPtr revIDLastSave="0" documentId="13_ncr:1_{87830CE1-2050-DA4D-87C7-055A7ED191C9}" xr6:coauthVersionLast="47" xr6:coauthVersionMax="47" xr10:uidLastSave="{00000000-0000-0000-0000-000000000000}"/>
  <bookViews>
    <workbookView xWindow="0" yWindow="0" windowWidth="28800" windowHeight="18000" xr2:uid="{6E6D42EA-68A8-1541-A8AE-CFE8A18360D4}"/>
  </bookViews>
  <sheets>
    <sheet name="Instace 1-Toronto-Montreal" sheetId="5" r:id="rId1"/>
    <sheet name="Instance 2- Allentown-New Haven" sheetId="6" r:id="rId2"/>
    <sheet name="Instance 3-Yreka-San Franciso" sheetId="7" r:id="rId3"/>
  </sheets>
  <definedNames>
    <definedName name="_xlnm._FilterDatabase" localSheetId="2" hidden="1">'Instance 3-Yreka-San Franciso'!$E$1:$K$44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1" i="6" l="1"/>
  <c r="J21" i="6"/>
  <c r="I17" i="6"/>
  <c r="J17" i="6"/>
  <c r="AJ5" i="5"/>
  <c r="AK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T5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J2" i="5"/>
  <c r="I2" i="5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S40" i="7"/>
  <c r="AC4" i="7"/>
  <c r="AJ4" i="7"/>
  <c r="AK4" i="7"/>
  <c r="AR4" i="7"/>
  <c r="AS4" i="7"/>
  <c r="AX2" i="7"/>
  <c r="V4" i="7" s="1"/>
  <c r="W4" i="6"/>
  <c r="Y4" i="6"/>
  <c r="AD4" i="6"/>
  <c r="AE4" i="6"/>
  <c r="AG4" i="6"/>
  <c r="AH4" i="6"/>
  <c r="T4" i="6"/>
  <c r="AJ2" i="6"/>
  <c r="AB4" i="6" s="1"/>
  <c r="X4" i="5"/>
  <c r="AC4" i="5"/>
  <c r="AE4" i="5"/>
  <c r="AM2" i="5"/>
  <c r="AA4" i="5" s="1"/>
  <c r="J24" i="7"/>
  <c r="J25" i="7"/>
  <c r="J2" i="7"/>
  <c r="J26" i="7"/>
  <c r="J27" i="7"/>
  <c r="J3" i="7"/>
  <c r="J4" i="7"/>
  <c r="J5" i="7"/>
  <c r="J6" i="7"/>
  <c r="J7" i="7"/>
  <c r="J28" i="7"/>
  <c r="J8" i="7"/>
  <c r="J29" i="7"/>
  <c r="J30" i="7"/>
  <c r="J9" i="7"/>
  <c r="J10" i="7"/>
  <c r="J31" i="7"/>
  <c r="J32" i="7"/>
  <c r="J11" i="7"/>
  <c r="J33" i="7"/>
  <c r="J34" i="7"/>
  <c r="J12" i="7"/>
  <c r="J35" i="7"/>
  <c r="J36" i="7"/>
  <c r="J37" i="7"/>
  <c r="J38" i="7"/>
  <c r="J13" i="7"/>
  <c r="J14" i="7"/>
  <c r="J15" i="7"/>
  <c r="J39" i="7"/>
  <c r="J16" i="7"/>
  <c r="J40" i="7"/>
  <c r="J41" i="7"/>
  <c r="J42" i="7"/>
  <c r="J17" i="7"/>
  <c r="J18" i="7"/>
  <c r="J19" i="7"/>
  <c r="J43" i="7"/>
  <c r="J44" i="7"/>
  <c r="J20" i="7"/>
  <c r="J21" i="7"/>
  <c r="J22" i="7"/>
  <c r="J23" i="7"/>
  <c r="I24" i="7"/>
  <c r="I25" i="7"/>
  <c r="I2" i="7"/>
  <c r="I26" i="7"/>
  <c r="I27" i="7"/>
  <c r="I3" i="7"/>
  <c r="I4" i="7"/>
  <c r="I5" i="7"/>
  <c r="I6" i="7"/>
  <c r="I7" i="7"/>
  <c r="I28" i="7"/>
  <c r="I8" i="7"/>
  <c r="I29" i="7"/>
  <c r="I30" i="7"/>
  <c r="I9" i="7"/>
  <c r="I10" i="7"/>
  <c r="I31" i="7"/>
  <c r="I32" i="7"/>
  <c r="I11" i="7"/>
  <c r="I33" i="7"/>
  <c r="I34" i="7"/>
  <c r="I12" i="7"/>
  <c r="I35" i="7"/>
  <c r="I36" i="7"/>
  <c r="I37" i="7"/>
  <c r="I38" i="7"/>
  <c r="I13" i="7"/>
  <c r="I14" i="7"/>
  <c r="I15" i="7"/>
  <c r="I39" i="7"/>
  <c r="I16" i="7"/>
  <c r="I40" i="7"/>
  <c r="I41" i="7"/>
  <c r="I42" i="7"/>
  <c r="I17" i="7"/>
  <c r="I18" i="7"/>
  <c r="I19" i="7"/>
  <c r="I43" i="7"/>
  <c r="I44" i="7"/>
  <c r="I20" i="7"/>
  <c r="I21" i="7"/>
  <c r="I22" i="7"/>
  <c r="I23" i="7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8" i="6"/>
  <c r="I19" i="6"/>
  <c r="I20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2" i="6"/>
  <c r="AA4" i="6" l="1"/>
  <c r="Z4" i="6"/>
  <c r="AF4" i="6"/>
  <c r="X4" i="6"/>
  <c r="V4" i="6"/>
  <c r="AC4" i="6"/>
  <c r="U4" i="6"/>
  <c r="AF4" i="5"/>
  <c r="AD4" i="5"/>
  <c r="T4" i="5"/>
  <c r="V4" i="5"/>
  <c r="AG4" i="5"/>
  <c r="Z4" i="5"/>
  <c r="Y4" i="5"/>
  <c r="W4" i="5"/>
  <c r="U4" i="5"/>
  <c r="AB4" i="5"/>
  <c r="U4" i="7"/>
  <c r="AB4" i="7"/>
  <c r="AQ4" i="7"/>
  <c r="AI4" i="7"/>
  <c r="AA4" i="7"/>
  <c r="AP4" i="7"/>
  <c r="AH4" i="7"/>
  <c r="Z4" i="7"/>
  <c r="AO4" i="7"/>
  <c r="AG4" i="7"/>
  <c r="Y4" i="7"/>
  <c r="AN4" i="7"/>
  <c r="AF4" i="7"/>
  <c r="X4" i="7"/>
  <c r="T4" i="7"/>
  <c r="AM4" i="7"/>
  <c r="AE4" i="7"/>
  <c r="W4" i="7"/>
  <c r="AT4" i="7"/>
  <c r="AL4" i="7"/>
  <c r="AD4" i="7"/>
</calcChain>
</file>

<file path=xl/sharedStrings.xml><?xml version="1.0" encoding="utf-8"?>
<sst xmlns="http://schemas.openxmlformats.org/spreadsheetml/2006/main" count="844" uniqueCount="477">
  <si>
    <t>X</t>
  </si>
  <si>
    <t>Y</t>
  </si>
  <si>
    <t>i</t>
  </si>
  <si>
    <t>j</t>
  </si>
  <si>
    <t>dij</t>
  </si>
  <si>
    <t>A</t>
  </si>
  <si>
    <t>H</t>
  </si>
  <si>
    <t>I</t>
  </si>
  <si>
    <t>J</t>
  </si>
  <si>
    <t>K</t>
  </si>
  <si>
    <t>L</t>
  </si>
  <si>
    <t>E</t>
  </si>
  <si>
    <t>B</t>
  </si>
  <si>
    <t>D</t>
  </si>
  <si>
    <t>F</t>
  </si>
  <si>
    <t>C</t>
  </si>
  <si>
    <t>G</t>
  </si>
  <si>
    <t>Cities</t>
  </si>
  <si>
    <t>Kingston</t>
  </si>
  <si>
    <t>Quincy</t>
  </si>
  <si>
    <t>Newton</t>
  </si>
  <si>
    <t>Vaugn</t>
  </si>
  <si>
    <t>Brampton</t>
  </si>
  <si>
    <t xml:space="preserve">Markam </t>
  </si>
  <si>
    <t>Guelph</t>
  </si>
  <si>
    <t>Scarborough</t>
  </si>
  <si>
    <t>Ajax</t>
  </si>
  <si>
    <t xml:space="preserve">Missisuaga </t>
  </si>
  <si>
    <t>North York</t>
  </si>
  <si>
    <t>Toronto</t>
  </si>
  <si>
    <t>London</t>
  </si>
  <si>
    <t>Port Perry</t>
  </si>
  <si>
    <t>New Market</t>
  </si>
  <si>
    <t>Georgina</t>
  </si>
  <si>
    <t>Peterborough</t>
  </si>
  <si>
    <t>Citiies</t>
  </si>
  <si>
    <t>Morristown</t>
  </si>
  <si>
    <t>New Brunswick</t>
  </si>
  <si>
    <t>Clinton</t>
  </si>
  <si>
    <t>NewHaven</t>
  </si>
  <si>
    <t>New York City</t>
  </si>
  <si>
    <t>Princeton</t>
  </si>
  <si>
    <t>Trenton</t>
  </si>
  <si>
    <t>Allentown</t>
  </si>
  <si>
    <t>Stroudburg</t>
  </si>
  <si>
    <t>Bethlem</t>
  </si>
  <si>
    <t>Scranton</t>
  </si>
  <si>
    <t>Middletown</t>
  </si>
  <si>
    <t>Wilks Bare</t>
  </si>
  <si>
    <t>Riverhead</t>
  </si>
  <si>
    <t>M</t>
  </si>
  <si>
    <t>N</t>
  </si>
  <si>
    <t>Edges</t>
  </si>
  <si>
    <t>Distances</t>
  </si>
  <si>
    <t>('A','B'):40,</t>
  </si>
  <si>
    <t>('A','H'):30,</t>
  </si>
  <si>
    <t>('A','I'):42,</t>
  </si>
  <si>
    <t>('B','C'):52,</t>
  </si>
  <si>
    <t>('B','I'):45,</t>
  </si>
  <si>
    <t>('C','D'):103,</t>
  </si>
  <si>
    <t>('C','I'):30,</t>
  </si>
  <si>
    <t>('D','I'):95,</t>
  </si>
  <si>
    <t>('D','E'):118,</t>
  </si>
  <si>
    <t>('D','J'):119,</t>
  </si>
  <si>
    <t>('E','F'):23,</t>
  </si>
  <si>
    <t>('E','I'):27,</t>
  </si>
  <si>
    <t>('F','I'):48,</t>
  </si>
  <si>
    <t>('F','G'):69,</t>
  </si>
  <si>
    <t>('F','L'):69,</t>
  </si>
  <si>
    <t>('F','K'):40,</t>
  </si>
  <si>
    <t>('F','N'):95,</t>
  </si>
  <si>
    <t>('G','H'):33,</t>
  </si>
  <si>
    <t>('G','I'):28,</t>
  </si>
  <si>
    <t>('I','J'):195,</t>
  </si>
  <si>
    <t>('K','L'):47,</t>
  </si>
  <si>
    <t>('L','M'):30,</t>
  </si>
  <si>
    <t>('M','N'):107,</t>
  </si>
  <si>
    <t>('B','A'):40,</t>
  </si>
  <si>
    <t>('H','A'):30,</t>
  </si>
  <si>
    <t>('I','A'):42,</t>
  </si>
  <si>
    <t>('C','B'):52,</t>
  </si>
  <si>
    <t>('I','B'):45,</t>
  </si>
  <si>
    <t>('D','C'):103,</t>
  </si>
  <si>
    <t>('I','C'):30,</t>
  </si>
  <si>
    <t>('I','D'):95,</t>
  </si>
  <si>
    <t>('E','D'):118,</t>
  </si>
  <si>
    <t>('J','D'):119,</t>
  </si>
  <si>
    <t>('F','E'):23,</t>
  </si>
  <si>
    <t>('I','E'):27,</t>
  </si>
  <si>
    <t>('I','F'):48,</t>
  </si>
  <si>
    <t>('G','F'):69,</t>
  </si>
  <si>
    <t>('L','F'):69,</t>
  </si>
  <si>
    <t>('K','F'):40,</t>
  </si>
  <si>
    <t>('N','F'):95,</t>
  </si>
  <si>
    <t>('H','G'):33,</t>
  </si>
  <si>
    <t>('I','G'):28,</t>
  </si>
  <si>
    <t>('J','I'):195,</t>
  </si>
  <si>
    <t>('L','K'):47,</t>
  </si>
  <si>
    <t>('M','L'):30,</t>
  </si>
  <si>
    <t>('N','M'):107,</t>
  </si>
  <si>
    <t>O</t>
  </si>
  <si>
    <t>('A','B'):50,</t>
  </si>
  <si>
    <t>('A','C'):53,</t>
  </si>
  <si>
    <t>('A','E'):52,</t>
  </si>
  <si>
    <t>('B','E'):87,</t>
  </si>
  <si>
    <t>('B','F'):428,</t>
  </si>
  <si>
    <t>('C','F'):390,</t>
  </si>
  <si>
    <t>('C','M'):44,</t>
  </si>
  <si>
    <t>('D','E'):192,</t>
  </si>
  <si>
    <t>('D','L'):271,</t>
  </si>
  <si>
    <t>('D','G'):149,</t>
  </si>
  <si>
    <t>('D','N'):300,</t>
  </si>
  <si>
    <t>('D','H'):238,</t>
  </si>
  <si>
    <t>('E','F'):336,</t>
  </si>
  <si>
    <t>('E','K'):172,</t>
  </si>
  <si>
    <t>('E','G'):82,</t>
  </si>
  <si>
    <t>('E','N'):195,</t>
  </si>
  <si>
    <t>('E','J'):122,</t>
  </si>
  <si>
    <t>('E','H'):108,</t>
  </si>
  <si>
    <t>('F','I'):487,</t>
  </si>
  <si>
    <t>('F','G'):437,</t>
  </si>
  <si>
    <t>('G','K'):105,</t>
  </si>
  <si>
    <t>('G','I'):122,</t>
  </si>
  <si>
    <t>('H','J'):113,</t>
  </si>
  <si>
    <t>('I','J'):64,</t>
  </si>
  <si>
    <t>('K','L'):118,</t>
  </si>
  <si>
    <t>('M','D'):200,</t>
  </si>
  <si>
    <t>('M','E'):122,</t>
  </si>
  <si>
    <t>('N','I'):105,</t>
  </si>
  <si>
    <t>('O','E'):98,</t>
  </si>
  <si>
    <t>('O','C'):183,</t>
  </si>
  <si>
    <t>('B','A'):50,</t>
  </si>
  <si>
    <t>('C','A'):53,</t>
  </si>
  <si>
    <t>('E','A'):52,</t>
  </si>
  <si>
    <t>('E','B'):87,</t>
  </si>
  <si>
    <t>('F','B'):428,</t>
  </si>
  <si>
    <t>('F','C'):390,</t>
  </si>
  <si>
    <t>('M','C'):44,</t>
  </si>
  <si>
    <t>('E','D'):192,</t>
  </si>
  <si>
    <t>('L','D'):271,</t>
  </si>
  <si>
    <t>('G','D'):149,</t>
  </si>
  <si>
    <t>('N','D'):300,</t>
  </si>
  <si>
    <t>('H','D'):238,</t>
  </si>
  <si>
    <t>('F','E'):336,</t>
  </si>
  <si>
    <t>('K','E'):172,</t>
  </si>
  <si>
    <t>('G','E'):82,</t>
  </si>
  <si>
    <t>('N','E'):195,</t>
  </si>
  <si>
    <t>('J','E'):122,</t>
  </si>
  <si>
    <t>('H','E'):108,</t>
  </si>
  <si>
    <t>('I','F'):487,</t>
  </si>
  <si>
    <t>('G','F'):437,</t>
  </si>
  <si>
    <t>('K','G'):105,</t>
  </si>
  <si>
    <t>('I','G'):122,</t>
  </si>
  <si>
    <t>('J','H'):113,</t>
  </si>
  <si>
    <t>('J','I'):64,</t>
  </si>
  <si>
    <t>('L','K'):118,</t>
  </si>
  <si>
    <t>('D','M'):200,</t>
  </si>
  <si>
    <t>('E','M'):122,</t>
  </si>
  <si>
    <t>('I','N'):105,</t>
  </si>
  <si>
    <t>('E','O'):98,</t>
  </si>
  <si>
    <t>('C','O'):183,</t>
  </si>
  <si>
    <t>('A','B',50),</t>
  </si>
  <si>
    <t>('A','C',53),</t>
  </si>
  <si>
    <t>('A','E',52),</t>
  </si>
  <si>
    <t>('B','E',87),</t>
  </si>
  <si>
    <t>('B','F',428),</t>
  </si>
  <si>
    <t>('C','F',390),</t>
  </si>
  <si>
    <t>('C','M',44),</t>
  </si>
  <si>
    <t>('D','E',192),</t>
  </si>
  <si>
    <t>('D','L',271),</t>
  </si>
  <si>
    <t>('D','G',149),</t>
  </si>
  <si>
    <t>('D','N',300),</t>
  </si>
  <si>
    <t>('D','H',238),</t>
  </si>
  <si>
    <t>('E','F',336),</t>
  </si>
  <si>
    <t>('E','K',172),</t>
  </si>
  <si>
    <t>('E','G',82),</t>
  </si>
  <si>
    <t>('E','N',195),</t>
  </si>
  <si>
    <t>('E','J',122),</t>
  </si>
  <si>
    <t>('E','H',108),</t>
  </si>
  <si>
    <t>('F','I',487),</t>
  </si>
  <si>
    <t>('F','G',437),</t>
  </si>
  <si>
    <t>('G','K',105),</t>
  </si>
  <si>
    <t>('G','I',122),</t>
  </si>
  <si>
    <t>('H','J',113),</t>
  </si>
  <si>
    <t>('I','J',64),</t>
  </si>
  <si>
    <t>('K','L',118),</t>
  </si>
  <si>
    <t>('M','D',200),</t>
  </si>
  <si>
    <t>('M','E',122),</t>
  </si>
  <si>
    <t>('N','I',105),</t>
  </si>
  <si>
    <t>('O','E',98),</t>
  </si>
  <si>
    <t>('O','C',183),</t>
  </si>
  <si>
    <t>City</t>
  </si>
  <si>
    <t>Number</t>
  </si>
  <si>
    <t>Yreka</t>
  </si>
  <si>
    <t>Alturas</t>
  </si>
  <si>
    <t>Eureka</t>
  </si>
  <si>
    <t>Weaverville</t>
  </si>
  <si>
    <t>Redding</t>
  </si>
  <si>
    <t>Red Bluff</t>
  </si>
  <si>
    <t>Susanville</t>
  </si>
  <si>
    <t>Willows</t>
  </si>
  <si>
    <t>Oroville</t>
  </si>
  <si>
    <t>Ukiah</t>
  </si>
  <si>
    <t>Lakeport</t>
  </si>
  <si>
    <t>Nevada City</t>
  </si>
  <si>
    <t>Marysville</t>
  </si>
  <si>
    <t>Santa Rosa</t>
  </si>
  <si>
    <t>Sacramento</t>
  </si>
  <si>
    <t>San Rafael</t>
  </si>
  <si>
    <t>Jackson</t>
  </si>
  <si>
    <t>Markleeville</t>
  </si>
  <si>
    <t>San Fransisco</t>
  </si>
  <si>
    <t>Stockton</t>
  </si>
  <si>
    <t>Oakland</t>
  </si>
  <si>
    <t>Sonora</t>
  </si>
  <si>
    <t>Bridgeport</t>
  </si>
  <si>
    <t>Redwood City</t>
  </si>
  <si>
    <t>San Jose</t>
  </si>
  <si>
    <t>Modesto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</si>
  <si>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</si>
  <si>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</si>
  <si>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</si>
  <si>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</si>
  <si>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</si>
  <si>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</si>
  <si>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</si>
  <si>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</si>
  <si>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</si>
  <si>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</si>
  <si>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Distance (km roundest to nearest km)</t>
  </si>
  <si>
    <t>('A','B',267),</t>
  </si>
  <si>
    <t>('A','B'):267,</t>
  </si>
  <si>
    <t>('A','C',321),</t>
  </si>
  <si>
    <t>('A','C'):321,</t>
  </si>
  <si>
    <t>('A','E',159),</t>
  </si>
  <si>
    <t>('A','E'):159,</t>
  </si>
  <si>
    <t>('B','A'):267,</t>
  </si>
  <si>
    <t>('B','E',231),</t>
  </si>
  <si>
    <t>('B','E'):231,</t>
  </si>
  <si>
    <t>('B','G',167),</t>
  </si>
  <si>
    <t>('B','G'):167,</t>
  </si>
  <si>
    <t>('C','K',254),</t>
  </si>
  <si>
    <t>('C','K'):254,</t>
  </si>
  <si>
    <t>('C','D',216),</t>
  </si>
  <si>
    <t>('C','D'):216,</t>
  </si>
  <si>
    <t>('C','A'):321,</t>
  </si>
  <si>
    <t>('D','F',120),</t>
  </si>
  <si>
    <t>('D','F'):120,</t>
  </si>
  <si>
    <t>('D','E',70),</t>
  </si>
  <si>
    <t>('D','E'):70,</t>
  </si>
  <si>
    <t>('D','C'):216,</t>
  </si>
  <si>
    <t>('E','A'):159,</t>
  </si>
  <si>
    <t>('E','D'):70,</t>
  </si>
  <si>
    <t>('E','B'):231,</t>
  </si>
  <si>
    <t>('F','D'):120,</t>
  </si>
  <si>
    <t>('F','G',170),</t>
  </si>
  <si>
    <t>('F','G'):170,</t>
  </si>
  <si>
    <t>('F','I',76),</t>
  </si>
  <si>
    <t>('F','I'):76,</t>
  </si>
  <si>
    <t>('G','B'):167,</t>
  </si>
  <si>
    <t>('G','F'):170,</t>
  </si>
  <si>
    <t>('G','H',181),</t>
  </si>
  <si>
    <t>('G','H'):181,</t>
  </si>
  <si>
    <t>('H','J',131),</t>
  </si>
  <si>
    <t>('H','J'):131,</t>
  </si>
  <si>
    <t>('H','G'):181,</t>
  </si>
  <si>
    <t>('I','F'):76,</t>
  </si>
  <si>
    <t>('I','J',67),</t>
  </si>
  <si>
    <t>('I','J'):67,</t>
  </si>
  <si>
    <t>('I','L',148),</t>
  </si>
  <si>
    <t>('I','L'):148,</t>
  </si>
  <si>
    <t>('J','H'):131,</t>
  </si>
  <si>
    <t>('J','I'):67,</t>
  </si>
  <si>
    <t>('J','M',93),</t>
  </si>
  <si>
    <t>('J','M'):93,</t>
  </si>
  <si>
    <t>('J','N',44),</t>
  </si>
  <si>
    <t>('J','N'):44,</t>
  </si>
  <si>
    <t>('K','C'):254,</t>
  </si>
  <si>
    <t>('K','L',58),</t>
  </si>
  <si>
    <t>('K','L'):58,</t>
  </si>
  <si>
    <t>('L','K'):58,</t>
  </si>
  <si>
    <t>('L','I',148),</t>
  </si>
  <si>
    <t>('L','I'):148,</t>
  </si>
  <si>
    <t>('L','N',161),</t>
  </si>
  <si>
    <t>('L','N'):161,</t>
  </si>
  <si>
    <t>('L','O',105),</t>
  </si>
  <si>
    <t>('L','O'):105,</t>
  </si>
  <si>
    <t>('M','J'):93,</t>
  </si>
  <si>
    <t>('M','N',60),</t>
  </si>
  <si>
    <t>('M','N'):60,</t>
  </si>
  <si>
    <t>('M','S',192),</t>
  </si>
  <si>
    <t>('M','S'):192,</t>
  </si>
  <si>
    <t>('M','P',97),</t>
  </si>
  <si>
    <t>('M','P'):97,</t>
  </si>
  <si>
    <t>('N','J'):44,</t>
  </si>
  <si>
    <t>('N','M'):60,</t>
  </si>
  <si>
    <t>('N','P',67),</t>
  </si>
  <si>
    <t>('N','P'):67,</t>
  </si>
  <si>
    <t>('N','O',217),</t>
  </si>
  <si>
    <t>('N','O'):217,</t>
  </si>
  <si>
    <t>('N','L'):161,</t>
  </si>
  <si>
    <t>('O','L'):105,</t>
  </si>
  <si>
    <t>('O','N'):217,</t>
  </si>
  <si>
    <t>('O','P',157),</t>
  </si>
  <si>
    <t>('O','P'):157,</t>
  </si>
  <si>
    <t>('O','Q',60),</t>
  </si>
  <si>
    <t>('O','Q'):60,</t>
  </si>
  <si>
    <t>('O','U',175),</t>
  </si>
  <si>
    <t>('O','U'):175,</t>
  </si>
  <si>
    <t>('P','M'):97,</t>
  </si>
  <si>
    <t>('P','N'):67,</t>
  </si>
  <si>
    <t>('P','O'):157,</t>
  </si>
  <si>
    <t>('P','R',77),</t>
  </si>
  <si>
    <t>('P','R'):77,</t>
  </si>
  <si>
    <t>('Q','O'):60,</t>
  </si>
  <si>
    <t>('R','P'):77,</t>
  </si>
  <si>
    <t>('R','S',133),</t>
  </si>
  <si>
    <t>('R','S'):133,</t>
  </si>
  <si>
    <t>('R','U',75),</t>
  </si>
  <si>
    <t>('R','U'):75,</t>
  </si>
  <si>
    <t>('S','M'):192,</t>
  </si>
  <si>
    <t>('S','R'):133,</t>
  </si>
  <si>
    <t>('S','W',201),</t>
  </si>
  <si>
    <t>('S','W'):201,</t>
  </si>
  <si>
    <t>('S','X',101),</t>
  </si>
  <si>
    <t>('S','X'):101,</t>
  </si>
  <si>
    <t>('T','Y',42),</t>
  </si>
  <si>
    <t>('T','Y'):42,</t>
  </si>
  <si>
    <t>('U','V',117),</t>
  </si>
  <si>
    <t>('U','V'):117,</t>
  </si>
  <si>
    <t>('U','O'):175,</t>
  </si>
  <si>
    <t>('U','R'):75,</t>
  </si>
  <si>
    <t>('U','W',101),</t>
  </si>
  <si>
    <t>('U','W'):101,</t>
  </si>
  <si>
    <t>('V','U'):117,</t>
  </si>
  <si>
    <t>('V','Y',56),</t>
  </si>
  <si>
    <t>('V','Y'):56,</t>
  </si>
  <si>
    <t>('W','U'):101,</t>
  </si>
  <si>
    <t>('W','S'):201,</t>
  </si>
  <si>
    <t>('W','X',230),</t>
  </si>
  <si>
    <t>('W','X'):230,</t>
  </si>
  <si>
    <t>('W','AA',79),</t>
  </si>
  <si>
    <t>('W','AA'):79,</t>
  </si>
  <si>
    <t>('X','W',230),</t>
  </si>
  <si>
    <t>('X','W'):230,</t>
  </si>
  <si>
    <t>('X','S'):101,</t>
  </si>
  <si>
    <t>('Y','T'):42,</t>
  </si>
  <si>
    <t>('Y','V'):56,</t>
  </si>
  <si>
    <t>('Y','Z',37),</t>
  </si>
  <si>
    <t>('Y','Z'):37,</t>
  </si>
  <si>
    <t>('Z','Y'):37,</t>
  </si>
  <si>
    <t>('Z','AA',131),</t>
  </si>
  <si>
    <t>('Z','AA'):131,</t>
  </si>
  <si>
    <t>('AA','W'):79,</t>
  </si>
  <si>
    <t>('AA','Z'):131,</t>
  </si>
  <si>
    <t>Distance</t>
  </si>
  <si>
    <t xml:space="preserve"> '', 'A', 'B', 'C', 'D', 'E', 'F', 'G', 'H', 'I', 'J', 'K', 'L', 'M', 'N', 'O', 'P', 'Q', 'R', 'S', 'T', 'U', 'V', 'W', 'X', 'Y', 'Z', 'AA',</t>
  </si>
  <si>
    <t>c</t>
  </si>
  <si>
    <t xml:space="preserve">Population </t>
  </si>
  <si>
    <t>Avg. Value of Dwelling</t>
  </si>
  <si>
    <t>Ci</t>
  </si>
  <si>
    <t>Avg Square Feet for Dwelling</t>
  </si>
  <si>
    <t>Square feet size of an EV charging station</t>
  </si>
  <si>
    <t>('A','B',40),</t>
  </si>
  <si>
    <t>('A','H',30),</t>
  </si>
  <si>
    <t>('A','I',42),</t>
  </si>
  <si>
    <t>('B','C',52),</t>
  </si>
  <si>
    <t>('B','I',45),</t>
  </si>
  <si>
    <t>('C','D',103),</t>
  </si>
  <si>
    <t>('C','I',30),</t>
  </si>
  <si>
    <t>('D','I',95),</t>
  </si>
  <si>
    <t>('D','E',118),</t>
  </si>
  <si>
    <t>('D','J',119),</t>
  </si>
  <si>
    <t>('E','F',23),</t>
  </si>
  <si>
    <t>('E','I',27),</t>
  </si>
  <si>
    <t>('F','I',48),</t>
  </si>
  <si>
    <t>('F','G',69),</t>
  </si>
  <si>
    <t>('F','L',69),</t>
  </si>
  <si>
    <t>('F','K',40),</t>
  </si>
  <si>
    <t>('F','N',95),</t>
  </si>
  <si>
    <t>('G','H',33),</t>
  </si>
  <si>
    <t>('G','I',28),</t>
  </si>
  <si>
    <t>('I','J',195),</t>
  </si>
  <si>
    <t>('K','L',47),</t>
  </si>
  <si>
    <t>('L','M',30),</t>
  </si>
  <si>
    <t>('M','N',107),</t>
  </si>
  <si>
    <t>' :</t>
  </si>
  <si>
    <t xml:space="preserve"> 'A' :348140,</t>
  </si>
  <si>
    <t xml:space="preserve"> 'B' :284786,</t>
  </si>
  <si>
    <t xml:space="preserve"> 'C' :345668,</t>
  </si>
  <si>
    <t xml:space="preserve"> 'D' :228261,</t>
  </si>
  <si>
    <t xml:space="preserve"> 'E' :178803,</t>
  </si>
  <si>
    <t xml:space="preserve"> 'F' :231346,</t>
  </si>
  <si>
    <t xml:space="preserve"> 'G' :256985,</t>
  </si>
  <si>
    <t xml:space="preserve"> 'H' :103793,</t>
  </si>
  <si>
    <t xml:space="preserve"> 'I' :216286,</t>
  </si>
  <si>
    <t xml:space="preserve"> 'J' :171751,</t>
  </si>
  <si>
    <t xml:space="preserve"> 'K' :176420,</t>
  </si>
  <si>
    <t xml:space="preserve"> 'L' :284580,</t>
  </si>
  <si>
    <t xml:space="preserve"> 'M' :165571,</t>
  </si>
  <si>
    <t xml:space="preserve"> 'N' :186404,</t>
  </si>
  <si>
    <t xml:space="preserve"> 'A' :168710,</t>
  </si>
  <si>
    <t xml:space="preserve"> 'B' :92350,</t>
  </si>
  <si>
    <t xml:space="preserve"> 'C' :84771,</t>
  </si>
  <si>
    <t xml:space="preserve"> 'D' :60395,</t>
  </si>
  <si>
    <t xml:space="preserve"> 'E' :182299,</t>
  </si>
  <si>
    <t xml:space="preserve"> 'F' :320721,</t>
  </si>
  <si>
    <t xml:space="preserve"> 'G' :184405,</t>
  </si>
  <si>
    <t xml:space="preserve"> 'H' :51399,</t>
  </si>
  <si>
    <t xml:space="preserve"> 'I' :56020,</t>
  </si>
  <si>
    <t xml:space="preserve"> 'J' :64593,</t>
  </si>
  <si>
    <t xml:space="preserve"> 'K' :51892,</t>
  </si>
  <si>
    <t xml:space="preserve"> 'L' :33026,</t>
  </si>
  <si>
    <t xml:space="preserve"> 'M' :62052,</t>
  </si>
  <si>
    <t xml:space="preserve"> 'N' :25767,</t>
  </si>
  <si>
    <t xml:space="preserve"> 'O' :30548,</t>
  </si>
  <si>
    <t xml:space="preserve"> 'A' :168710, 'B' :92350, 'C' :84771, 'D' :60395, 'E' :182299, 'F' :320721, 'G' :184405, 'H' :51399, 'I' :56020, 'J' :64593, 'K' :51892, 'L' :33026, 'M' :62052, 'N' :25767, 'O' :30548,</t>
  </si>
  <si>
    <t xml:space="preserve"> 'A' :51138,</t>
  </si>
  <si>
    <t xml:space="preserve"> 'B' :35427,</t>
  </si>
  <si>
    <t xml:space="preserve"> 'C' :99794,</t>
  </si>
  <si>
    <t xml:space="preserve"> 'D' :102517,</t>
  </si>
  <si>
    <t xml:space="preserve"> 'E' :94415,</t>
  </si>
  <si>
    <t xml:space="preserve"> 'F' :75538,</t>
  </si>
  <si>
    <t xml:space="preserve"> 'G' :56964,</t>
  </si>
  <si>
    <t xml:space="preserve"> 'H' :147217,</t>
  </si>
  <si>
    <t xml:space="preserve"> 'I' :67104,</t>
  </si>
  <si>
    <t xml:space="preserve"> 'J' :71847,</t>
  </si>
  <si>
    <t xml:space="preserve"> 'K' :86912,</t>
  </si>
  <si>
    <t xml:space="preserve"> 'L' :86465,</t>
  </si>
  <si>
    <t xml:space="preserve"> 'M' :166565,</t>
  </si>
  <si>
    <t xml:space="preserve"> 'N' :88811,</t>
  </si>
  <si>
    <t xml:space="preserve"> 'O' :171393,</t>
  </si>
  <si>
    <t xml:space="preserve"> 'P' :116511,</t>
  </si>
  <si>
    <t xml:space="preserve"> 'Q' :348047,</t>
  </si>
  <si>
    <t xml:space="preserve"> 'R' :269207,</t>
  </si>
  <si>
    <t xml:space="preserve"> 'S' :22297,</t>
  </si>
  <si>
    <t xml:space="preserve"> 'T' :148218,</t>
  </si>
  <si>
    <t xml:space="preserve"> 'U' :107293,</t>
  </si>
  <si>
    <t xml:space="preserve"> 'V' :181531,</t>
  </si>
  <si>
    <t xml:space="preserve"> 'W' :99033,</t>
  </si>
  <si>
    <t xml:space="preserve"> 'X' :50193,</t>
  </si>
  <si>
    <t xml:space="preserve"> 'Y' :465524,</t>
  </si>
  <si>
    <t xml:space="preserve"> 'Z' :107870,</t>
  </si>
  <si>
    <t xml:space="preserve"> 'AA' :104445,</t>
  </si>
  <si>
    <t xml:space="preserve"> 'A' :51138, 'B' :35427, 'C' :99794, 'D' :102517, 'E' :94415, 'F' :75538, 'G' :56964, 'H' :147217, 'I' :67104, 'J' :71847, 'K' :86912, 'L' :86465, 'M' :166565, 'N' :88811, 'O' :171393, 'P' :116511, 'Q' :348047, 'R' :269207, 'S' :22297, 'T' :148218, 'U' :107293, 'V' :181531, 'W' :99033, 'X' :50193, 'Y' :465524, 'Z' :107870, 'AA' :104445,</t>
  </si>
  <si>
    <t xml:space="preserve">Belleville </t>
  </si>
  <si>
    <t xml:space="preserve">Cornwall </t>
  </si>
  <si>
    <t>Montreal</t>
  </si>
  <si>
    <t xml:space="preserve"> 'A', 'B', 'C', 'D', 'E', 'F', 'G', 'H', 'I', 'J', 'K', 'L', 'M', 'N', 'O', 'P', 'Q', 'R',</t>
  </si>
  <si>
    <t xml:space="preserve"> 'O' :58973,</t>
  </si>
  <si>
    <t xml:space="preserve"> 'P' :84262,</t>
  </si>
  <si>
    <t xml:space="preserve"> 'Q' :48382,</t>
  </si>
  <si>
    <t xml:space="preserve"> 'R' :91232,</t>
  </si>
  <si>
    <t>('O','P',58),</t>
  </si>
  <si>
    <t>('O','P'):58,</t>
  </si>
  <si>
    <t>('P','Q',164),</t>
  </si>
  <si>
    <t>('P','Q'):164,</t>
  </si>
  <si>
    <t>('P','R',288),</t>
  </si>
  <si>
    <t>('P','R'):288,</t>
  </si>
  <si>
    <t>('R','Q',113),</t>
  </si>
  <si>
    <t>('R','Q'):113,</t>
  </si>
  <si>
    <t>('P','I',241),</t>
  </si>
  <si>
    <t>('P','I'):241,</t>
  </si>
  <si>
    <t>('M','Q',383),</t>
  </si>
  <si>
    <t>('M','Q'):383,</t>
  </si>
  <si>
    <t>('P','O'):58,</t>
  </si>
  <si>
    <t>('Q','P'):164,</t>
  </si>
  <si>
    <t>('R','P'):288,</t>
  </si>
  <si>
    <t>('Q','R'):113,</t>
  </si>
  <si>
    <t>('I','P'):241,</t>
  </si>
  <si>
    <t>('R','M'):383,</t>
  </si>
  <si>
    <t xml:space="preserve"> 'A' :348140, 'B' :284786, 'C' :345668, 'D' :228261, 'E' :178803, 'F' :231346, 'G' :256985, 'H' :103793, 'I' :216286, 'J' :171751, 'K' :176420, 'L' :284580, 'M' :165571, 'N' :186404, 'O' :58973, 'P' :84262, 'Q' :48382, 'R' :91232,</t>
  </si>
  <si>
    <t xml:space="preserve">Nodes: </t>
  </si>
  <si>
    <t>Nodes</t>
  </si>
  <si>
    <t xml:space="preserve">  'A', 'B', 'C', 'D', 'E', 'F', 'G', 'H', 'I', 'J', 'K', 'L', 'M', 'N', 'O'</t>
  </si>
  <si>
    <t xml:space="preserve">Cost i: </t>
  </si>
  <si>
    <t xml:space="preserve">Toronto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</si>
</sst>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rgb="FFE4E6EB"/>
      <name val="Arial"/>
      <family val="2"/>
    </font>
    <font>
      <sz val="12"/>
      <color rgb="FF000000"/>
      <name val="Calibri"/>
      <family val="2"/>
      <scheme val="minor"/>
    </font>
    <font>
      <sz val="12"/>
      <color rgb="FF000000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DAE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Fill="1"/>
    <xf numFmtId="0" fontId="0" fillId="0" borderId="0" xfId="0" quotePrefix="1"/>
    <xf numFmtId="0" fontId="1" fillId="0" borderId="0" xfId="0" applyFont="1" applyAlignment="1">
      <alignment wrapText="1"/>
    </xf>
    <xf numFmtId="0" fontId="1" fillId="2" borderId="0" xfId="0" applyFont="1" applyFill="1"/>
    <xf numFmtId="0" fontId="0" fillId="0" borderId="0" xfId="0" applyAlignment="1">
      <alignment wrapText="1"/>
    </xf>
    <xf numFmtId="3" fontId="0" fillId="0" borderId="0" xfId="0" applyNumberFormat="1"/>
    <xf numFmtId="1" fontId="0" fillId="0" borderId="0" xfId="0" applyNumberFormat="1"/>
    <xf numFmtId="0" fontId="1" fillId="0" borderId="0" xfId="0" applyFont="1" applyFill="1"/>
    <xf numFmtId="0" fontId="2" fillId="0" borderId="0" xfId="0" applyFont="1"/>
    <xf numFmtId="1" fontId="0" fillId="0" borderId="0" xfId="0" applyNumberFormat="1" applyFont="1"/>
    <xf numFmtId="0" fontId="0" fillId="0" borderId="0" xfId="0" applyFont="1"/>
    <xf numFmtId="0" fontId="3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4" fillId="0" borderId="0" xfId="0" applyFont="1"/>
    <xf numFmtId="0" fontId="4" fillId="0" borderId="0" xfId="0" quotePrefix="1" applyFont="1"/>
  </cellXfs>
  <cellStyles count="1">
    <cellStyle name="Normal" xfId="0" builtinId="0"/>
  </cellStyles>
  <dxfs count="1">
    <dxf>
      <fill>
        <patternFill patternType="solid">
          <fgColor rgb="FFFFDAE1"/>
          <bgColor rgb="FF000000"/>
        </patternFill>
      </fill>
    </dxf>
  </dxfs>
  <tableStyles count="0" defaultTableStyle="TableStyleMedium2" defaultPivotStyle="PivotStyleLight16"/>
  <colors>
    <mruColors>
      <color rgb="FFFFDA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A146-9C45-CD43-B642-C195F50117F1}">
  <sheetPr codeName="Sheet5"/>
  <dimension ref="A1:AM172"/>
  <sheetViews>
    <sheetView tabSelected="1" zoomScale="50" zoomScaleNormal="98" workbookViewId="0">
      <selection activeCell="Q61" sqref="Q61"/>
    </sheetView>
  </sheetViews>
  <sheetFormatPr baseColWidth="10" defaultRowHeight="16" x14ac:dyDescent="0.2"/>
  <cols>
    <col min="1" max="1" width="13.5" customWidth="1"/>
    <col min="4" max="4" width="31.1640625" customWidth="1"/>
    <col min="8" max="8" width="10.83203125" style="4"/>
    <col min="19" max="19" width="21.33203125" customWidth="1"/>
    <col min="33" max="35" width="13" customWidth="1"/>
    <col min="38" max="38" width="33.5" customWidth="1"/>
  </cols>
  <sheetData>
    <row r="1" spans="1:39" ht="17" x14ac:dyDescent="0.2">
      <c r="A1" t="s">
        <v>17</v>
      </c>
      <c r="E1" t="s">
        <v>2</v>
      </c>
      <c r="F1" t="s">
        <v>3</v>
      </c>
      <c r="G1" t="s">
        <v>4</v>
      </c>
      <c r="L1" t="s">
        <v>52</v>
      </c>
      <c r="M1" t="s">
        <v>355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445</v>
      </c>
      <c r="AI1" t="s">
        <v>18</v>
      </c>
      <c r="AJ1" t="s">
        <v>446</v>
      </c>
      <c r="AK1" t="s">
        <v>447</v>
      </c>
      <c r="AL1" s="8" t="s">
        <v>361</v>
      </c>
      <c r="AM1" s="8">
        <v>1792</v>
      </c>
    </row>
    <row r="2" spans="1:39" ht="68" customHeight="1" x14ac:dyDescent="0.2">
      <c r="A2" t="s">
        <v>21</v>
      </c>
      <c r="B2">
        <v>1</v>
      </c>
      <c r="C2" t="s">
        <v>5</v>
      </c>
      <c r="D2" t="s">
        <v>357</v>
      </c>
      <c r="E2">
        <v>1</v>
      </c>
      <c r="F2">
        <v>2</v>
      </c>
      <c r="G2">
        <v>40</v>
      </c>
      <c r="I2" t="str">
        <f>VLOOKUP(E2,$B$2:$C$19,2,FALSE)</f>
        <v>A</v>
      </c>
      <c r="J2" t="str">
        <f>VLOOKUP(F2,$B$2:$C$19,2,FALSE)</f>
        <v>B</v>
      </c>
      <c r="K2">
        <v>40</v>
      </c>
      <c r="L2" t="s">
        <v>363</v>
      </c>
      <c r="M2" t="s">
        <v>54</v>
      </c>
      <c r="O2" s="18" t="s">
        <v>7</v>
      </c>
      <c r="P2" t="s">
        <v>476</v>
      </c>
      <c r="S2" s="8" t="s">
        <v>358</v>
      </c>
      <c r="T2">
        <v>323000</v>
      </c>
      <c r="U2">
        <v>603000</v>
      </c>
      <c r="V2">
        <v>343000</v>
      </c>
      <c r="W2">
        <v>135000</v>
      </c>
      <c r="X2">
        <v>61879</v>
      </c>
      <c r="Y2">
        <v>120000</v>
      </c>
      <c r="Z2">
        <v>829000</v>
      </c>
      <c r="AA2">
        <v>869401</v>
      </c>
      <c r="AB2">
        <v>2930000</v>
      </c>
      <c r="AC2">
        <v>405000</v>
      </c>
      <c r="AD2">
        <v>9453</v>
      </c>
      <c r="AE2" s="9">
        <v>84224</v>
      </c>
      <c r="AF2">
        <v>45418</v>
      </c>
      <c r="AG2">
        <v>181424</v>
      </c>
      <c r="AL2" s="8" t="s">
        <v>362</v>
      </c>
      <c r="AM2" s="8">
        <f>2.75*9*18</f>
        <v>445.5</v>
      </c>
    </row>
    <row r="3" spans="1:39" x14ac:dyDescent="0.2">
      <c r="A3" t="s">
        <v>22</v>
      </c>
      <c r="B3">
        <v>2</v>
      </c>
      <c r="C3" t="s">
        <v>12</v>
      </c>
      <c r="E3">
        <v>1</v>
      </c>
      <c r="F3">
        <v>8</v>
      </c>
      <c r="G3">
        <v>30</v>
      </c>
      <c r="I3" t="str">
        <f t="shared" ref="I3:I59" si="0">VLOOKUP(E3,$B$2:$C$19,2,FALSE)</f>
        <v>A</v>
      </c>
      <c r="J3" t="str">
        <f t="shared" ref="J3:J59" si="1">VLOOKUP(F3,$B$2:$C$19,2,FALSE)</f>
        <v>H</v>
      </c>
      <c r="K3">
        <v>30</v>
      </c>
      <c r="L3" t="s">
        <v>364</v>
      </c>
      <c r="M3" t="s">
        <v>55</v>
      </c>
      <c r="O3" t="s">
        <v>219</v>
      </c>
      <c r="P3" t="s">
        <v>18</v>
      </c>
      <c r="S3" t="s">
        <v>359</v>
      </c>
      <c r="T3">
        <v>1400375</v>
      </c>
      <c r="U3">
        <v>1145536</v>
      </c>
      <c r="V3">
        <v>1390432</v>
      </c>
      <c r="W3">
        <v>918169</v>
      </c>
      <c r="X3">
        <v>719226</v>
      </c>
      <c r="Y3">
        <v>930577</v>
      </c>
      <c r="Z3">
        <v>1033707</v>
      </c>
      <c r="AA3">
        <v>417500</v>
      </c>
      <c r="AB3">
        <v>870000</v>
      </c>
      <c r="AC3">
        <v>690861</v>
      </c>
      <c r="AD3">
        <v>709640</v>
      </c>
      <c r="AE3">
        <v>1144708</v>
      </c>
      <c r="AF3">
        <v>666000</v>
      </c>
      <c r="AG3">
        <v>749799</v>
      </c>
    </row>
    <row r="4" spans="1:39" ht="19" x14ac:dyDescent="0.2">
      <c r="A4" t="s">
        <v>23</v>
      </c>
      <c r="B4">
        <v>3</v>
      </c>
      <c r="C4" t="s">
        <v>15</v>
      </c>
      <c r="E4">
        <v>1</v>
      </c>
      <c r="F4">
        <v>9</v>
      </c>
      <c r="G4">
        <v>42</v>
      </c>
      <c r="I4" t="str">
        <f t="shared" si="0"/>
        <v>A</v>
      </c>
      <c r="J4" t="str">
        <f t="shared" si="1"/>
        <v>I</v>
      </c>
      <c r="K4">
        <v>42</v>
      </c>
      <c r="L4" t="s">
        <v>365</v>
      </c>
      <c r="M4" t="s">
        <v>56</v>
      </c>
      <c r="O4" t="s">
        <v>14</v>
      </c>
      <c r="P4" t="s">
        <v>26</v>
      </c>
      <c r="S4" s="8" t="s">
        <v>360</v>
      </c>
      <c r="T4">
        <f>(T3/$AM$1)*$AM$2</f>
        <v>348140.10184151784</v>
      </c>
      <c r="U4">
        <f t="shared" ref="U4:AG4" si="2">(U3/$AM$1)*$AM$2</f>
        <v>284785.875</v>
      </c>
      <c r="V4">
        <f t="shared" si="2"/>
        <v>345668.22321428574</v>
      </c>
      <c r="W4">
        <f t="shared" si="2"/>
        <v>228261.322265625</v>
      </c>
      <c r="X4">
        <f t="shared" si="2"/>
        <v>178803.11551339287</v>
      </c>
      <c r="Y4">
        <f t="shared" si="2"/>
        <v>231346.01199776784</v>
      </c>
      <c r="Z4">
        <f t="shared" si="2"/>
        <v>256984.63643973216</v>
      </c>
      <c r="AA4">
        <f t="shared" si="2"/>
        <v>103792.55022321429</v>
      </c>
      <c r="AB4">
        <f t="shared" si="2"/>
        <v>216286.27232142858</v>
      </c>
      <c r="AC4">
        <f t="shared" si="2"/>
        <v>171751.43722098213</v>
      </c>
      <c r="AD4">
        <f t="shared" si="2"/>
        <v>176419.98883928571</v>
      </c>
      <c r="AE4">
        <f t="shared" si="2"/>
        <v>284580.03013392858</v>
      </c>
      <c r="AF4">
        <f t="shared" si="2"/>
        <v>165570.87053571429</v>
      </c>
      <c r="AG4">
        <f t="shared" si="2"/>
        <v>186403.71344866071</v>
      </c>
      <c r="AH4" s="12">
        <v>58973.06</v>
      </c>
    </row>
    <row r="5" spans="1:39" x14ac:dyDescent="0.2">
      <c r="A5" t="s">
        <v>24</v>
      </c>
      <c r="B5">
        <v>4</v>
      </c>
      <c r="C5" t="s">
        <v>13</v>
      </c>
      <c r="E5">
        <v>2</v>
      </c>
      <c r="F5">
        <v>3</v>
      </c>
      <c r="G5">
        <v>52</v>
      </c>
      <c r="I5" t="str">
        <f t="shared" si="0"/>
        <v>B</v>
      </c>
      <c r="J5" t="str">
        <f t="shared" si="1"/>
        <v>C</v>
      </c>
      <c r="K5">
        <v>52</v>
      </c>
      <c r="L5" t="s">
        <v>366</v>
      </c>
      <c r="M5" t="s">
        <v>57</v>
      </c>
      <c r="S5" t="s">
        <v>191</v>
      </c>
      <c r="T5" t="str">
        <f>VLOOKUP(T1,$A$2:$C$19,3,FALSE)</f>
        <v>A</v>
      </c>
      <c r="U5" t="str">
        <f t="shared" ref="U5:AK5" si="3">VLOOKUP(U1,$A$2:$C$19,3,FALSE)</f>
        <v>B</v>
      </c>
      <c r="V5" t="str">
        <f t="shared" si="3"/>
        <v>C</v>
      </c>
      <c r="W5" t="str">
        <f t="shared" si="3"/>
        <v>D</v>
      </c>
      <c r="X5" t="str">
        <f t="shared" si="3"/>
        <v>E</v>
      </c>
      <c r="Y5" t="str">
        <f t="shared" si="3"/>
        <v>F</v>
      </c>
      <c r="Z5" t="str">
        <f t="shared" si="3"/>
        <v>G</v>
      </c>
      <c r="AA5" t="str">
        <f t="shared" si="3"/>
        <v>H</v>
      </c>
      <c r="AB5" t="str">
        <f t="shared" si="3"/>
        <v>I</v>
      </c>
      <c r="AC5" t="str">
        <f t="shared" si="3"/>
        <v>J</v>
      </c>
      <c r="AD5" t="str">
        <f t="shared" si="3"/>
        <v>K</v>
      </c>
      <c r="AE5" t="str">
        <f t="shared" si="3"/>
        <v>L</v>
      </c>
      <c r="AF5" t="str">
        <f t="shared" si="3"/>
        <v>M</v>
      </c>
      <c r="AG5" t="str">
        <f t="shared" si="3"/>
        <v>N</v>
      </c>
      <c r="AH5" t="str">
        <f t="shared" si="3"/>
        <v>O</v>
      </c>
      <c r="AI5" t="str">
        <f t="shared" si="3"/>
        <v>P</v>
      </c>
      <c r="AJ5" t="str">
        <f>VLOOKUP(AJ1,$A$2:$C$19,3,FALSE)</f>
        <v>Q</v>
      </c>
      <c r="AK5" t="str">
        <f t="shared" si="3"/>
        <v>R</v>
      </c>
    </row>
    <row r="6" spans="1:39" x14ac:dyDescent="0.2">
      <c r="A6" t="s">
        <v>25</v>
      </c>
      <c r="B6">
        <v>5</v>
      </c>
      <c r="C6" t="s">
        <v>11</v>
      </c>
      <c r="E6">
        <v>2</v>
      </c>
      <c r="F6">
        <v>9</v>
      </c>
      <c r="G6">
        <v>45</v>
      </c>
      <c r="I6" t="str">
        <f t="shared" si="0"/>
        <v>B</v>
      </c>
      <c r="J6" t="str">
        <f t="shared" si="1"/>
        <v>I</v>
      </c>
      <c r="K6">
        <v>45</v>
      </c>
      <c r="L6" t="s">
        <v>367</v>
      </c>
      <c r="M6" t="s">
        <v>58</v>
      </c>
    </row>
    <row r="7" spans="1:39" x14ac:dyDescent="0.2">
      <c r="A7" t="s">
        <v>26</v>
      </c>
      <c r="B7">
        <v>6</v>
      </c>
      <c r="C7" t="s">
        <v>14</v>
      </c>
      <c r="E7">
        <v>3</v>
      </c>
      <c r="F7">
        <v>4</v>
      </c>
      <c r="G7">
        <v>103</v>
      </c>
      <c r="I7" t="str">
        <f t="shared" si="0"/>
        <v>C</v>
      </c>
      <c r="J7" t="str">
        <f t="shared" si="1"/>
        <v>D</v>
      </c>
      <c r="K7">
        <v>103</v>
      </c>
      <c r="L7" t="s">
        <v>368</v>
      </c>
      <c r="M7" t="s">
        <v>59</v>
      </c>
    </row>
    <row r="8" spans="1:39" x14ac:dyDescent="0.2">
      <c r="A8" t="s">
        <v>27</v>
      </c>
      <c r="B8">
        <v>7</v>
      </c>
      <c r="C8" t="s">
        <v>16</v>
      </c>
      <c r="E8">
        <v>3</v>
      </c>
      <c r="F8">
        <v>9</v>
      </c>
      <c r="G8">
        <v>30</v>
      </c>
      <c r="I8" t="str">
        <f t="shared" si="0"/>
        <v>C</v>
      </c>
      <c r="J8" t="str">
        <f t="shared" si="1"/>
        <v>I</v>
      </c>
      <c r="K8">
        <v>30</v>
      </c>
      <c r="L8" t="s">
        <v>369</v>
      </c>
      <c r="M8" t="s">
        <v>60</v>
      </c>
      <c r="S8" t="s">
        <v>360</v>
      </c>
      <c r="T8">
        <v>348140.10184151784</v>
      </c>
      <c r="U8">
        <v>284785.875</v>
      </c>
      <c r="V8">
        <v>345668.22321428574</v>
      </c>
      <c r="W8">
        <v>228261.322265625</v>
      </c>
      <c r="X8">
        <v>178803.11551339287</v>
      </c>
      <c r="Y8">
        <v>231346.01199776784</v>
      </c>
      <c r="Z8">
        <v>256984.63643973216</v>
      </c>
      <c r="AA8">
        <v>103792.55022321429</v>
      </c>
      <c r="AB8">
        <v>216286.27232142858</v>
      </c>
      <c r="AC8">
        <v>171751.43722098213</v>
      </c>
      <c r="AD8">
        <v>176419.98883928571</v>
      </c>
      <c r="AE8">
        <v>284580.03013392858</v>
      </c>
      <c r="AF8">
        <v>165570.87053571429</v>
      </c>
      <c r="AG8">
        <v>186403.71344866071</v>
      </c>
    </row>
    <row r="9" spans="1:39" x14ac:dyDescent="0.2">
      <c r="A9" t="s">
        <v>28</v>
      </c>
      <c r="B9">
        <v>8</v>
      </c>
      <c r="C9" t="s">
        <v>6</v>
      </c>
      <c r="E9">
        <v>4</v>
      </c>
      <c r="F9">
        <v>9</v>
      </c>
      <c r="G9">
        <v>95</v>
      </c>
      <c r="I9" t="str">
        <f t="shared" si="0"/>
        <v>D</v>
      </c>
      <c r="J9" t="str">
        <f t="shared" si="1"/>
        <v>I</v>
      </c>
      <c r="K9">
        <v>95</v>
      </c>
      <c r="L9" t="s">
        <v>370</v>
      </c>
      <c r="M9" t="s">
        <v>61</v>
      </c>
      <c r="S9" t="s">
        <v>191</v>
      </c>
      <c r="T9" t="s">
        <v>5</v>
      </c>
      <c r="U9" t="s">
        <v>12</v>
      </c>
      <c r="V9" t="s">
        <v>15</v>
      </c>
      <c r="W9" t="s">
        <v>13</v>
      </c>
      <c r="X9" t="s">
        <v>11</v>
      </c>
      <c r="Y9" t="s">
        <v>14</v>
      </c>
      <c r="Z9" t="s">
        <v>16</v>
      </c>
      <c r="AA9" t="s">
        <v>6</v>
      </c>
      <c r="AB9" t="s">
        <v>7</v>
      </c>
      <c r="AC9" t="s">
        <v>8</v>
      </c>
      <c r="AD9" t="s">
        <v>9</v>
      </c>
      <c r="AE9" t="s">
        <v>10</v>
      </c>
      <c r="AF9" t="s">
        <v>50</v>
      </c>
      <c r="AG9" t="s">
        <v>51</v>
      </c>
    </row>
    <row r="10" spans="1:39" x14ac:dyDescent="0.2">
      <c r="A10" t="s">
        <v>29</v>
      </c>
      <c r="B10">
        <v>9</v>
      </c>
      <c r="C10" t="s">
        <v>7</v>
      </c>
      <c r="E10">
        <v>4</v>
      </c>
      <c r="F10">
        <v>5</v>
      </c>
      <c r="G10">
        <v>118</v>
      </c>
      <c r="I10" t="str">
        <f t="shared" si="0"/>
        <v>D</v>
      </c>
      <c r="J10" t="str">
        <f t="shared" si="1"/>
        <v>E</v>
      </c>
      <c r="K10">
        <v>118</v>
      </c>
      <c r="L10" t="s">
        <v>371</v>
      </c>
      <c r="M10" t="s">
        <v>62</v>
      </c>
    </row>
    <row r="11" spans="1:39" x14ac:dyDescent="0.2">
      <c r="A11" t="s">
        <v>30</v>
      </c>
      <c r="B11">
        <v>10</v>
      </c>
      <c r="C11" t="s">
        <v>8</v>
      </c>
      <c r="E11">
        <v>4</v>
      </c>
      <c r="F11">
        <v>10</v>
      </c>
      <c r="G11">
        <v>119</v>
      </c>
      <c r="I11" t="str">
        <f t="shared" si="0"/>
        <v>D</v>
      </c>
      <c r="J11" t="str">
        <f t="shared" si="1"/>
        <v>J</v>
      </c>
      <c r="K11">
        <v>119</v>
      </c>
      <c r="L11" t="s">
        <v>372</v>
      </c>
      <c r="M11" t="s">
        <v>63</v>
      </c>
    </row>
    <row r="12" spans="1:39" x14ac:dyDescent="0.2">
      <c r="A12" t="s">
        <v>31</v>
      </c>
      <c r="B12">
        <v>11</v>
      </c>
      <c r="C12" t="s">
        <v>9</v>
      </c>
      <c r="E12">
        <v>5</v>
      </c>
      <c r="F12">
        <v>6</v>
      </c>
      <c r="G12">
        <v>23</v>
      </c>
      <c r="I12" t="str">
        <f t="shared" si="0"/>
        <v>E</v>
      </c>
      <c r="J12" t="str">
        <f t="shared" si="1"/>
        <v>F</v>
      </c>
      <c r="K12">
        <v>23</v>
      </c>
      <c r="L12" t="s">
        <v>373</v>
      </c>
      <c r="M12" t="s">
        <v>64</v>
      </c>
      <c r="S12" t="s">
        <v>360</v>
      </c>
      <c r="T12" t="s">
        <v>191</v>
      </c>
      <c r="U12" t="s">
        <v>357</v>
      </c>
    </row>
    <row r="13" spans="1:39" x14ac:dyDescent="0.2">
      <c r="A13" t="s">
        <v>32</v>
      </c>
      <c r="B13">
        <v>12</v>
      </c>
      <c r="C13" t="s">
        <v>10</v>
      </c>
      <c r="E13">
        <v>5</v>
      </c>
      <c r="F13">
        <v>9</v>
      </c>
      <c r="G13">
        <v>27</v>
      </c>
      <c r="I13" t="str">
        <f t="shared" si="0"/>
        <v>E</v>
      </c>
      <c r="J13" t="str">
        <f t="shared" si="1"/>
        <v>I</v>
      </c>
      <c r="K13">
        <v>27</v>
      </c>
      <c r="L13" t="s">
        <v>374</v>
      </c>
      <c r="M13" t="s">
        <v>65</v>
      </c>
      <c r="S13" s="13">
        <v>348140.10184000002</v>
      </c>
      <c r="T13" t="s">
        <v>5</v>
      </c>
      <c r="U13" s="5" t="s">
        <v>387</v>
      </c>
    </row>
    <row r="14" spans="1:39" x14ac:dyDescent="0.2">
      <c r="A14" t="s">
        <v>33</v>
      </c>
      <c r="B14">
        <v>13</v>
      </c>
      <c r="C14" t="s">
        <v>50</v>
      </c>
      <c r="E14">
        <v>6</v>
      </c>
      <c r="F14">
        <v>9</v>
      </c>
      <c r="G14">
        <v>48</v>
      </c>
      <c r="I14" t="str">
        <f t="shared" si="0"/>
        <v>F</v>
      </c>
      <c r="J14" t="str">
        <f t="shared" si="1"/>
        <v>I</v>
      </c>
      <c r="K14">
        <v>48</v>
      </c>
      <c r="L14" t="s">
        <v>375</v>
      </c>
      <c r="M14" t="s">
        <v>66</v>
      </c>
      <c r="S14" s="13">
        <v>284785.875</v>
      </c>
      <c r="T14" t="s">
        <v>12</v>
      </c>
      <c r="U14" s="5" t="s">
        <v>388</v>
      </c>
    </row>
    <row r="15" spans="1:39" x14ac:dyDescent="0.2">
      <c r="A15" t="s">
        <v>34</v>
      </c>
      <c r="B15">
        <v>14</v>
      </c>
      <c r="C15" t="s">
        <v>51</v>
      </c>
      <c r="E15">
        <v>6</v>
      </c>
      <c r="F15">
        <v>7</v>
      </c>
      <c r="G15">
        <v>69</v>
      </c>
      <c r="I15" t="str">
        <f t="shared" si="0"/>
        <v>F</v>
      </c>
      <c r="J15" t="str">
        <f t="shared" si="1"/>
        <v>G</v>
      </c>
      <c r="K15">
        <v>69</v>
      </c>
      <c r="L15" t="s">
        <v>376</v>
      </c>
      <c r="M15" t="s">
        <v>67</v>
      </c>
      <c r="S15" s="13">
        <v>345668.22321428574</v>
      </c>
      <c r="T15" t="s">
        <v>15</v>
      </c>
      <c r="U15" s="5" t="s">
        <v>389</v>
      </c>
    </row>
    <row r="16" spans="1:39" x14ac:dyDescent="0.2">
      <c r="A16" t="s">
        <v>445</v>
      </c>
      <c r="B16">
        <v>15</v>
      </c>
      <c r="C16" s="5" t="s">
        <v>100</v>
      </c>
      <c r="E16">
        <v>6</v>
      </c>
      <c r="F16">
        <v>12</v>
      </c>
      <c r="G16">
        <v>69</v>
      </c>
      <c r="I16" t="str">
        <f t="shared" si="0"/>
        <v>F</v>
      </c>
      <c r="J16" t="str">
        <f t="shared" si="1"/>
        <v>L</v>
      </c>
      <c r="K16">
        <v>69</v>
      </c>
      <c r="L16" t="s">
        <v>377</v>
      </c>
      <c r="M16" t="s">
        <v>68</v>
      </c>
      <c r="S16" s="13">
        <v>228261.322265625</v>
      </c>
      <c r="T16" t="s">
        <v>13</v>
      </c>
      <c r="U16" s="5" t="s">
        <v>390</v>
      </c>
    </row>
    <row r="17" spans="1:36" x14ac:dyDescent="0.2">
      <c r="A17" t="s">
        <v>18</v>
      </c>
      <c r="B17">
        <v>16</v>
      </c>
      <c r="C17" t="s">
        <v>219</v>
      </c>
      <c r="E17">
        <v>6</v>
      </c>
      <c r="F17">
        <v>11</v>
      </c>
      <c r="G17">
        <v>40</v>
      </c>
      <c r="I17" t="str">
        <f t="shared" si="0"/>
        <v>F</v>
      </c>
      <c r="J17" t="str">
        <f t="shared" si="1"/>
        <v>K</v>
      </c>
      <c r="K17">
        <v>40</v>
      </c>
      <c r="L17" t="s">
        <v>378</v>
      </c>
      <c r="M17" t="s">
        <v>69</v>
      </c>
      <c r="S17" s="13">
        <v>178803.11551339287</v>
      </c>
      <c r="T17" t="s">
        <v>11</v>
      </c>
      <c r="U17" s="5" t="s">
        <v>391</v>
      </c>
    </row>
    <row r="18" spans="1:36" x14ac:dyDescent="0.2">
      <c r="A18" t="s">
        <v>446</v>
      </c>
      <c r="B18">
        <v>17</v>
      </c>
      <c r="C18" t="s">
        <v>220</v>
      </c>
      <c r="E18">
        <v>6</v>
      </c>
      <c r="F18">
        <v>14</v>
      </c>
      <c r="G18">
        <v>95</v>
      </c>
      <c r="I18" t="str">
        <f t="shared" si="0"/>
        <v>F</v>
      </c>
      <c r="J18" t="str">
        <f t="shared" si="1"/>
        <v>N</v>
      </c>
      <c r="K18">
        <v>95</v>
      </c>
      <c r="L18" t="s">
        <v>379</v>
      </c>
      <c r="M18" t="s">
        <v>70</v>
      </c>
      <c r="S18" s="13">
        <v>231346.01199776784</v>
      </c>
      <c r="T18" t="s">
        <v>14</v>
      </c>
      <c r="U18" s="5" t="s">
        <v>392</v>
      </c>
    </row>
    <row r="19" spans="1:36" x14ac:dyDescent="0.2">
      <c r="A19" t="s">
        <v>447</v>
      </c>
      <c r="B19">
        <v>18</v>
      </c>
      <c r="C19" t="s">
        <v>221</v>
      </c>
      <c r="E19">
        <v>7</v>
      </c>
      <c r="F19">
        <v>8</v>
      </c>
      <c r="G19">
        <v>33</v>
      </c>
      <c r="I19" t="str">
        <f t="shared" si="0"/>
        <v>G</v>
      </c>
      <c r="J19" t="str">
        <f t="shared" si="1"/>
        <v>H</v>
      </c>
      <c r="K19">
        <v>33</v>
      </c>
      <c r="L19" t="s">
        <v>380</v>
      </c>
      <c r="M19" t="s">
        <v>71</v>
      </c>
      <c r="S19" s="13">
        <v>256984.63643973216</v>
      </c>
      <c r="T19" t="s">
        <v>16</v>
      </c>
      <c r="U19" s="5" t="s">
        <v>393</v>
      </c>
    </row>
    <row r="20" spans="1:36" x14ac:dyDescent="0.2">
      <c r="E20">
        <v>7</v>
      </c>
      <c r="F20">
        <v>9</v>
      </c>
      <c r="G20">
        <v>28</v>
      </c>
      <c r="I20" t="str">
        <f t="shared" si="0"/>
        <v>G</v>
      </c>
      <c r="J20" t="str">
        <f t="shared" si="1"/>
        <v>I</v>
      </c>
      <c r="K20">
        <v>28</v>
      </c>
      <c r="L20" t="s">
        <v>381</v>
      </c>
      <c r="M20" t="s">
        <v>72</v>
      </c>
      <c r="S20" s="13">
        <v>103792.55022321429</v>
      </c>
      <c r="T20" t="s">
        <v>6</v>
      </c>
      <c r="U20" s="5" t="s">
        <v>394</v>
      </c>
    </row>
    <row r="21" spans="1:36" x14ac:dyDescent="0.2">
      <c r="A21" t="s">
        <v>472</v>
      </c>
      <c r="B21" s="15" t="s">
        <v>448</v>
      </c>
      <c r="C21" s="15"/>
      <c r="D21" s="15"/>
      <c r="E21">
        <v>9</v>
      </c>
      <c r="F21">
        <v>10</v>
      </c>
      <c r="G21">
        <v>195</v>
      </c>
      <c r="I21" t="str">
        <f t="shared" si="0"/>
        <v>I</v>
      </c>
      <c r="J21" t="str">
        <f t="shared" si="1"/>
        <v>J</v>
      </c>
      <c r="K21">
        <v>195</v>
      </c>
      <c r="L21" t="s">
        <v>382</v>
      </c>
      <c r="M21" t="s">
        <v>73</v>
      </c>
      <c r="S21" s="13">
        <v>216286.27232142858</v>
      </c>
      <c r="T21" t="s">
        <v>7</v>
      </c>
      <c r="U21" s="5" t="s">
        <v>395</v>
      </c>
    </row>
    <row r="22" spans="1:36" x14ac:dyDescent="0.2">
      <c r="E22">
        <v>11</v>
      </c>
      <c r="F22">
        <v>12</v>
      </c>
      <c r="G22">
        <v>47</v>
      </c>
      <c r="I22" t="str">
        <f t="shared" si="0"/>
        <v>K</v>
      </c>
      <c r="J22" t="str">
        <f t="shared" si="1"/>
        <v>L</v>
      </c>
      <c r="K22">
        <v>47</v>
      </c>
      <c r="L22" t="s">
        <v>383</v>
      </c>
      <c r="M22" t="s">
        <v>74</v>
      </c>
      <c r="S22" s="13">
        <v>171751.43722098213</v>
      </c>
      <c r="T22" t="s">
        <v>8</v>
      </c>
      <c r="U22" s="5" t="s">
        <v>396</v>
      </c>
    </row>
    <row r="23" spans="1:36" x14ac:dyDescent="0.2">
      <c r="E23">
        <v>12</v>
      </c>
      <c r="F23">
        <v>13</v>
      </c>
      <c r="G23">
        <v>30</v>
      </c>
      <c r="I23" t="str">
        <f t="shared" si="0"/>
        <v>L</v>
      </c>
      <c r="J23" t="str">
        <f t="shared" si="1"/>
        <v>M</v>
      </c>
      <c r="K23">
        <v>30</v>
      </c>
      <c r="L23" t="s">
        <v>384</v>
      </c>
      <c r="M23" t="s">
        <v>75</v>
      </c>
      <c r="S23" s="13">
        <v>176419.98883928571</v>
      </c>
      <c r="T23" t="s">
        <v>9</v>
      </c>
      <c r="U23" s="5" t="s">
        <v>397</v>
      </c>
    </row>
    <row r="24" spans="1:36" x14ac:dyDescent="0.2">
      <c r="E24">
        <v>13</v>
      </c>
      <c r="F24">
        <v>14</v>
      </c>
      <c r="G24">
        <v>107</v>
      </c>
      <c r="I24" t="str">
        <f t="shared" si="0"/>
        <v>M</v>
      </c>
      <c r="J24" t="str">
        <f t="shared" si="1"/>
        <v>N</v>
      </c>
      <c r="K24">
        <v>107</v>
      </c>
      <c r="L24" t="s">
        <v>385</v>
      </c>
      <c r="M24" t="s">
        <v>76</v>
      </c>
      <c r="S24" s="13">
        <v>284580.03013392858</v>
      </c>
      <c r="T24" t="s">
        <v>10</v>
      </c>
      <c r="U24" s="5" t="s">
        <v>398</v>
      </c>
    </row>
    <row r="25" spans="1:36" x14ac:dyDescent="0.2">
      <c r="E25">
        <v>15</v>
      </c>
      <c r="F25">
        <v>16</v>
      </c>
      <c r="G25">
        <v>58</v>
      </c>
      <c r="I25" t="str">
        <f t="shared" si="0"/>
        <v>O</v>
      </c>
      <c r="J25" t="str">
        <f t="shared" si="1"/>
        <v>P</v>
      </c>
      <c r="K25">
        <v>58</v>
      </c>
      <c r="L25" t="s">
        <v>453</v>
      </c>
      <c r="M25" t="s">
        <v>454</v>
      </c>
      <c r="S25" s="13">
        <v>165570.87053571429</v>
      </c>
      <c r="T25" t="s">
        <v>50</v>
      </c>
      <c r="U25" s="5" t="s">
        <v>399</v>
      </c>
    </row>
    <row r="26" spans="1:36" x14ac:dyDescent="0.2">
      <c r="E26">
        <v>16</v>
      </c>
      <c r="F26">
        <v>17</v>
      </c>
      <c r="G26">
        <v>164</v>
      </c>
      <c r="I26" t="str">
        <f t="shared" si="0"/>
        <v>P</v>
      </c>
      <c r="J26" t="str">
        <f t="shared" si="1"/>
        <v>Q</v>
      </c>
      <c r="K26">
        <v>164</v>
      </c>
      <c r="L26" t="s">
        <v>455</v>
      </c>
      <c r="M26" t="s">
        <v>456</v>
      </c>
      <c r="S26" s="13">
        <v>186403.71344866071</v>
      </c>
      <c r="T26" t="s">
        <v>51</v>
      </c>
      <c r="U26" s="5" t="s">
        <v>400</v>
      </c>
    </row>
    <row r="27" spans="1:36" x14ac:dyDescent="0.2">
      <c r="E27">
        <v>16</v>
      </c>
      <c r="F27">
        <v>18</v>
      </c>
      <c r="G27">
        <v>288</v>
      </c>
      <c r="I27" t="str">
        <f t="shared" si="0"/>
        <v>P</v>
      </c>
      <c r="J27" t="str">
        <f t="shared" si="1"/>
        <v>R</v>
      </c>
      <c r="K27">
        <v>288</v>
      </c>
      <c r="L27" t="s">
        <v>457</v>
      </c>
      <c r="M27" t="s">
        <v>458</v>
      </c>
      <c r="S27" s="14">
        <v>58973.06</v>
      </c>
      <c r="T27" t="s">
        <v>100</v>
      </c>
      <c r="U27" s="5" t="s">
        <v>449</v>
      </c>
    </row>
    <row r="28" spans="1:36" x14ac:dyDescent="0.2">
      <c r="E28">
        <v>18</v>
      </c>
      <c r="F28">
        <v>17</v>
      </c>
      <c r="G28">
        <v>113</v>
      </c>
      <c r="I28" t="str">
        <f t="shared" si="0"/>
        <v>R</v>
      </c>
      <c r="J28" t="str">
        <f t="shared" si="1"/>
        <v>Q</v>
      </c>
      <c r="K28">
        <v>113</v>
      </c>
      <c r="L28" t="s">
        <v>459</v>
      </c>
      <c r="M28" t="s">
        <v>460</v>
      </c>
      <c r="S28" s="14">
        <v>84261.9</v>
      </c>
      <c r="T28" t="s">
        <v>219</v>
      </c>
      <c r="U28" s="5" t="s">
        <v>450</v>
      </c>
    </row>
    <row r="29" spans="1:36" x14ac:dyDescent="0.2">
      <c r="E29">
        <v>16</v>
      </c>
      <c r="F29">
        <v>9</v>
      </c>
      <c r="G29">
        <v>241</v>
      </c>
      <c r="I29" t="str">
        <f t="shared" si="0"/>
        <v>P</v>
      </c>
      <c r="J29" t="str">
        <f t="shared" si="1"/>
        <v>I</v>
      </c>
      <c r="K29">
        <v>241</v>
      </c>
      <c r="L29" t="s">
        <v>461</v>
      </c>
      <c r="M29" t="s">
        <v>462</v>
      </c>
      <c r="S29" s="14">
        <v>48381.996090000001</v>
      </c>
      <c r="T29" t="s">
        <v>220</v>
      </c>
      <c r="U29" s="5" t="s">
        <v>451</v>
      </c>
    </row>
    <row r="30" spans="1:36" x14ac:dyDescent="0.2">
      <c r="E30">
        <v>13</v>
      </c>
      <c r="F30">
        <v>17</v>
      </c>
      <c r="G30">
        <v>383</v>
      </c>
      <c r="I30" t="str">
        <f t="shared" si="0"/>
        <v>M</v>
      </c>
      <c r="J30" t="str">
        <f t="shared" si="1"/>
        <v>Q</v>
      </c>
      <c r="K30">
        <v>383</v>
      </c>
      <c r="L30" t="s">
        <v>463</v>
      </c>
      <c r="M30" t="s">
        <v>464</v>
      </c>
      <c r="S30" s="14">
        <v>91231.538499999995</v>
      </c>
      <c r="T30" t="s">
        <v>221</v>
      </c>
      <c r="U30" s="5" t="s">
        <v>452</v>
      </c>
    </row>
    <row r="31" spans="1:36" x14ac:dyDescent="0.2">
      <c r="E31" s="3">
        <v>2</v>
      </c>
      <c r="F31" s="3">
        <v>1</v>
      </c>
      <c r="G31" s="3">
        <v>40</v>
      </c>
      <c r="I31" t="str">
        <f t="shared" si="0"/>
        <v>B</v>
      </c>
      <c r="J31" t="str">
        <f t="shared" si="1"/>
        <v>A</v>
      </c>
      <c r="K31" s="4">
        <v>40</v>
      </c>
      <c r="M31" t="s">
        <v>77</v>
      </c>
    </row>
    <row r="32" spans="1:36" x14ac:dyDescent="0.2">
      <c r="E32" s="3">
        <v>8</v>
      </c>
      <c r="F32" s="3">
        <v>1</v>
      </c>
      <c r="G32" s="3">
        <v>30</v>
      </c>
      <c r="I32" t="str">
        <f t="shared" si="0"/>
        <v>H</v>
      </c>
      <c r="J32" t="str">
        <f t="shared" si="1"/>
        <v>A</v>
      </c>
      <c r="K32" s="4">
        <v>30</v>
      </c>
      <c r="M32" t="s">
        <v>78</v>
      </c>
      <c r="S32" t="s">
        <v>360</v>
      </c>
      <c r="T32" s="16" t="s">
        <v>471</v>
      </c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</row>
    <row r="33" spans="5:35" x14ac:dyDescent="0.2">
      <c r="E33" s="3">
        <v>9</v>
      </c>
      <c r="F33" s="3">
        <v>1</v>
      </c>
      <c r="G33" s="3">
        <v>42</v>
      </c>
      <c r="I33" t="str">
        <f t="shared" si="0"/>
        <v>I</v>
      </c>
      <c r="J33" t="str">
        <f t="shared" si="1"/>
        <v>A</v>
      </c>
      <c r="K33" s="4">
        <v>42</v>
      </c>
      <c r="M33" t="s">
        <v>79</v>
      </c>
      <c r="U33" s="5"/>
    </row>
    <row r="34" spans="5:35" x14ac:dyDescent="0.2">
      <c r="E34" s="3">
        <v>3</v>
      </c>
      <c r="F34" s="3">
        <v>2</v>
      </c>
      <c r="G34" s="3">
        <v>52</v>
      </c>
      <c r="I34" t="str">
        <f t="shared" si="0"/>
        <v>C</v>
      </c>
      <c r="J34" t="str">
        <f t="shared" si="1"/>
        <v>B</v>
      </c>
      <c r="K34" s="4">
        <v>52</v>
      </c>
      <c r="M34" t="s">
        <v>80</v>
      </c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</row>
    <row r="35" spans="5:35" x14ac:dyDescent="0.2">
      <c r="E35" s="3">
        <v>9</v>
      </c>
      <c r="F35" s="3">
        <v>2</v>
      </c>
      <c r="G35" s="3">
        <v>45</v>
      </c>
      <c r="I35" t="str">
        <f t="shared" si="0"/>
        <v>I</v>
      </c>
      <c r="J35" t="str">
        <f t="shared" si="1"/>
        <v>B</v>
      </c>
      <c r="K35" s="4">
        <v>45</v>
      </c>
      <c r="M35" t="s">
        <v>81</v>
      </c>
    </row>
    <row r="36" spans="5:35" x14ac:dyDescent="0.2">
      <c r="E36" s="3">
        <v>4</v>
      </c>
      <c r="F36" s="3">
        <v>3</v>
      </c>
      <c r="G36" s="3">
        <v>103</v>
      </c>
      <c r="I36" t="str">
        <f t="shared" si="0"/>
        <v>D</v>
      </c>
      <c r="J36" t="str">
        <f t="shared" si="1"/>
        <v>C</v>
      </c>
      <c r="K36" s="4">
        <v>103</v>
      </c>
      <c r="M36" t="s">
        <v>82</v>
      </c>
    </row>
    <row r="37" spans="5:35" x14ac:dyDescent="0.2">
      <c r="E37" s="3">
        <v>9</v>
      </c>
      <c r="F37" s="3">
        <v>3</v>
      </c>
      <c r="G37" s="3">
        <v>30</v>
      </c>
      <c r="I37" t="str">
        <f t="shared" si="0"/>
        <v>I</v>
      </c>
      <c r="J37" t="str">
        <f t="shared" si="1"/>
        <v>C</v>
      </c>
      <c r="K37" s="4">
        <v>30</v>
      </c>
      <c r="M37" t="s">
        <v>83</v>
      </c>
    </row>
    <row r="38" spans="5:35" x14ac:dyDescent="0.2">
      <c r="E38" s="3">
        <v>9</v>
      </c>
      <c r="F38" s="3">
        <v>4</v>
      </c>
      <c r="G38" s="3">
        <v>95</v>
      </c>
      <c r="I38" t="str">
        <f t="shared" si="0"/>
        <v>I</v>
      </c>
      <c r="J38" t="str">
        <f t="shared" si="1"/>
        <v>D</v>
      </c>
      <c r="K38" s="4">
        <v>95</v>
      </c>
      <c r="M38" t="s">
        <v>84</v>
      </c>
      <c r="T38" t="s">
        <v>471</v>
      </c>
    </row>
    <row r="39" spans="5:35" x14ac:dyDescent="0.2">
      <c r="E39" s="3">
        <v>5</v>
      </c>
      <c r="F39" s="3">
        <v>4</v>
      </c>
      <c r="G39" s="3">
        <v>118</v>
      </c>
      <c r="I39" t="str">
        <f t="shared" si="0"/>
        <v>E</v>
      </c>
      <c r="J39" t="str">
        <f t="shared" si="1"/>
        <v>D</v>
      </c>
      <c r="K39" s="4">
        <v>118</v>
      </c>
      <c r="M39" t="s">
        <v>85</v>
      </c>
    </row>
    <row r="40" spans="5:35" x14ac:dyDescent="0.2">
      <c r="E40" s="3">
        <v>10</v>
      </c>
      <c r="F40" s="3">
        <v>4</v>
      </c>
      <c r="G40" s="3">
        <v>119</v>
      </c>
      <c r="I40" t="str">
        <f t="shared" si="0"/>
        <v>J</v>
      </c>
      <c r="J40" t="str">
        <f t="shared" si="1"/>
        <v>D</v>
      </c>
      <c r="K40" s="4">
        <v>119</v>
      </c>
      <c r="M40" t="s">
        <v>86</v>
      </c>
    </row>
    <row r="41" spans="5:35" x14ac:dyDescent="0.2">
      <c r="E41" s="3">
        <v>6</v>
      </c>
      <c r="F41" s="3">
        <v>5</v>
      </c>
      <c r="G41" s="3">
        <v>23</v>
      </c>
      <c r="I41" t="str">
        <f t="shared" si="0"/>
        <v>F</v>
      </c>
      <c r="J41" t="str">
        <f t="shared" si="1"/>
        <v>E</v>
      </c>
      <c r="K41" s="4">
        <v>23</v>
      </c>
      <c r="M41" t="s">
        <v>87</v>
      </c>
    </row>
    <row r="42" spans="5:35" x14ac:dyDescent="0.2">
      <c r="E42" s="3">
        <v>9</v>
      </c>
      <c r="F42" s="3">
        <v>5</v>
      </c>
      <c r="G42" s="3">
        <v>27</v>
      </c>
      <c r="I42" t="str">
        <f t="shared" si="0"/>
        <v>I</v>
      </c>
      <c r="J42" t="str">
        <f t="shared" si="1"/>
        <v>E</v>
      </c>
      <c r="K42" s="4">
        <v>27</v>
      </c>
      <c r="M42" t="s">
        <v>88</v>
      </c>
    </row>
    <row r="43" spans="5:35" x14ac:dyDescent="0.2">
      <c r="E43" s="3">
        <v>9</v>
      </c>
      <c r="F43" s="3">
        <v>6</v>
      </c>
      <c r="G43" s="3">
        <v>48</v>
      </c>
      <c r="I43" t="str">
        <f t="shared" si="0"/>
        <v>I</v>
      </c>
      <c r="J43" t="str">
        <f t="shared" si="1"/>
        <v>F</v>
      </c>
      <c r="K43" s="4">
        <v>48</v>
      </c>
      <c r="M43" t="s">
        <v>89</v>
      </c>
    </row>
    <row r="44" spans="5:35" x14ac:dyDescent="0.2">
      <c r="E44" s="3">
        <v>7</v>
      </c>
      <c r="F44" s="3">
        <v>6</v>
      </c>
      <c r="G44" s="3">
        <v>69</v>
      </c>
      <c r="I44" t="str">
        <f t="shared" si="0"/>
        <v>G</v>
      </c>
      <c r="J44" t="str">
        <f t="shared" si="1"/>
        <v>F</v>
      </c>
      <c r="K44" s="4">
        <v>69</v>
      </c>
      <c r="M44" t="s">
        <v>90</v>
      </c>
    </row>
    <row r="45" spans="5:35" x14ac:dyDescent="0.2">
      <c r="E45" s="3">
        <v>12</v>
      </c>
      <c r="F45" s="3">
        <v>6</v>
      </c>
      <c r="G45" s="3">
        <v>69</v>
      </c>
      <c r="I45" t="str">
        <f t="shared" si="0"/>
        <v>L</v>
      </c>
      <c r="J45" t="str">
        <f t="shared" si="1"/>
        <v>F</v>
      </c>
      <c r="K45" s="4">
        <v>69</v>
      </c>
      <c r="M45" t="s">
        <v>91</v>
      </c>
    </row>
    <row r="46" spans="5:35" x14ac:dyDescent="0.2">
      <c r="E46" s="3">
        <v>11</v>
      </c>
      <c r="F46" s="3">
        <v>6</v>
      </c>
      <c r="G46" s="3">
        <v>40</v>
      </c>
      <c r="I46" t="str">
        <f t="shared" si="0"/>
        <v>K</v>
      </c>
      <c r="J46" t="str">
        <f t="shared" si="1"/>
        <v>F</v>
      </c>
      <c r="K46" s="4">
        <v>40</v>
      </c>
      <c r="M46" t="s">
        <v>92</v>
      </c>
    </row>
    <row r="47" spans="5:35" x14ac:dyDescent="0.2">
      <c r="E47" s="3">
        <v>14</v>
      </c>
      <c r="F47" s="3">
        <v>6</v>
      </c>
      <c r="G47" s="3">
        <v>95</v>
      </c>
      <c r="I47" t="str">
        <f t="shared" si="0"/>
        <v>N</v>
      </c>
      <c r="J47" t="str">
        <f t="shared" si="1"/>
        <v>F</v>
      </c>
      <c r="K47" s="4">
        <v>95</v>
      </c>
      <c r="M47" t="s">
        <v>93</v>
      </c>
    </row>
    <row r="48" spans="5:35" x14ac:dyDescent="0.2">
      <c r="E48" s="3">
        <v>8</v>
      </c>
      <c r="F48" s="3">
        <v>7</v>
      </c>
      <c r="G48" s="3">
        <v>33</v>
      </c>
      <c r="I48" t="str">
        <f t="shared" si="0"/>
        <v>H</v>
      </c>
      <c r="J48" t="str">
        <f t="shared" si="1"/>
        <v>G</v>
      </c>
      <c r="K48" s="4">
        <v>33</v>
      </c>
      <c r="M48" t="s">
        <v>94</v>
      </c>
    </row>
    <row r="49" spans="5:13" x14ac:dyDescent="0.2">
      <c r="E49" s="3">
        <v>9</v>
      </c>
      <c r="F49" s="3">
        <v>7</v>
      </c>
      <c r="G49" s="3">
        <v>28</v>
      </c>
      <c r="I49" t="str">
        <f t="shared" si="0"/>
        <v>I</v>
      </c>
      <c r="J49" t="str">
        <f t="shared" si="1"/>
        <v>G</v>
      </c>
      <c r="K49" s="4">
        <v>28</v>
      </c>
      <c r="M49" t="s">
        <v>95</v>
      </c>
    </row>
    <row r="50" spans="5:13" x14ac:dyDescent="0.2">
      <c r="E50" s="3">
        <v>10</v>
      </c>
      <c r="F50" s="3">
        <v>9</v>
      </c>
      <c r="G50" s="3">
        <v>195</v>
      </c>
      <c r="I50" t="str">
        <f t="shared" si="0"/>
        <v>J</v>
      </c>
      <c r="J50" t="str">
        <f t="shared" si="1"/>
        <v>I</v>
      </c>
      <c r="K50" s="4">
        <v>195</v>
      </c>
      <c r="M50" t="s">
        <v>96</v>
      </c>
    </row>
    <row r="51" spans="5:13" x14ac:dyDescent="0.2">
      <c r="E51" s="3">
        <v>12</v>
      </c>
      <c r="F51" s="3">
        <v>11</v>
      </c>
      <c r="G51" s="3">
        <v>47</v>
      </c>
      <c r="I51" t="str">
        <f t="shared" si="0"/>
        <v>L</v>
      </c>
      <c r="J51" t="str">
        <f t="shared" si="1"/>
        <v>K</v>
      </c>
      <c r="K51" s="4">
        <v>47</v>
      </c>
      <c r="M51" t="s">
        <v>97</v>
      </c>
    </row>
    <row r="52" spans="5:13" x14ac:dyDescent="0.2">
      <c r="E52" s="3">
        <v>13</v>
      </c>
      <c r="F52" s="3">
        <v>12</v>
      </c>
      <c r="G52" s="3">
        <v>30</v>
      </c>
      <c r="I52" t="str">
        <f t="shared" si="0"/>
        <v>M</v>
      </c>
      <c r="J52" t="str">
        <f t="shared" si="1"/>
        <v>L</v>
      </c>
      <c r="K52" s="4">
        <v>30</v>
      </c>
      <c r="M52" t="s">
        <v>98</v>
      </c>
    </row>
    <row r="53" spans="5:13" x14ac:dyDescent="0.2">
      <c r="E53" s="3">
        <v>14</v>
      </c>
      <c r="F53" s="3">
        <v>13</v>
      </c>
      <c r="G53" s="3">
        <v>107</v>
      </c>
      <c r="I53" t="str">
        <f t="shared" si="0"/>
        <v>N</v>
      </c>
      <c r="J53" t="str">
        <f t="shared" si="1"/>
        <v>M</v>
      </c>
      <c r="K53">
        <v>107</v>
      </c>
      <c r="M53" t="s">
        <v>99</v>
      </c>
    </row>
    <row r="54" spans="5:13" x14ac:dyDescent="0.2">
      <c r="E54" s="3">
        <v>16</v>
      </c>
      <c r="F54" s="3">
        <v>15</v>
      </c>
      <c r="G54" s="3">
        <v>58</v>
      </c>
      <c r="I54" t="str">
        <f t="shared" si="0"/>
        <v>P</v>
      </c>
      <c r="J54" t="str">
        <f t="shared" si="1"/>
        <v>O</v>
      </c>
      <c r="K54">
        <v>58</v>
      </c>
      <c r="M54" t="s">
        <v>465</v>
      </c>
    </row>
    <row r="55" spans="5:13" x14ac:dyDescent="0.2">
      <c r="E55" s="3">
        <v>17</v>
      </c>
      <c r="F55" s="3">
        <v>16</v>
      </c>
      <c r="G55" s="3">
        <v>164</v>
      </c>
      <c r="I55" t="str">
        <f t="shared" si="0"/>
        <v>Q</v>
      </c>
      <c r="J55" t="str">
        <f t="shared" si="1"/>
        <v>P</v>
      </c>
      <c r="K55">
        <v>164</v>
      </c>
      <c r="M55" t="s">
        <v>466</v>
      </c>
    </row>
    <row r="56" spans="5:13" x14ac:dyDescent="0.2">
      <c r="E56" s="3">
        <v>18</v>
      </c>
      <c r="F56" s="3">
        <v>16</v>
      </c>
      <c r="G56" s="3">
        <v>288</v>
      </c>
      <c r="I56" t="str">
        <f t="shared" si="0"/>
        <v>R</v>
      </c>
      <c r="J56" t="str">
        <f t="shared" si="1"/>
        <v>P</v>
      </c>
      <c r="K56">
        <v>288</v>
      </c>
      <c r="M56" t="s">
        <v>467</v>
      </c>
    </row>
    <row r="57" spans="5:13" x14ac:dyDescent="0.2">
      <c r="E57" s="3">
        <v>17</v>
      </c>
      <c r="F57" s="3">
        <v>18</v>
      </c>
      <c r="G57" s="3">
        <v>113</v>
      </c>
      <c r="I57" t="str">
        <f t="shared" si="0"/>
        <v>Q</v>
      </c>
      <c r="J57" t="str">
        <f t="shared" si="1"/>
        <v>R</v>
      </c>
      <c r="K57">
        <v>113</v>
      </c>
      <c r="M57" t="s">
        <v>468</v>
      </c>
    </row>
    <row r="58" spans="5:13" x14ac:dyDescent="0.2">
      <c r="E58" s="3">
        <v>9</v>
      </c>
      <c r="F58" s="3">
        <v>16</v>
      </c>
      <c r="G58" s="3">
        <v>241</v>
      </c>
      <c r="I58" t="str">
        <f t="shared" si="0"/>
        <v>I</v>
      </c>
      <c r="J58" t="str">
        <f t="shared" si="1"/>
        <v>P</v>
      </c>
      <c r="K58">
        <v>241</v>
      </c>
      <c r="M58" t="s">
        <v>469</v>
      </c>
    </row>
    <row r="59" spans="5:13" x14ac:dyDescent="0.2">
      <c r="E59" s="3">
        <v>18</v>
      </c>
      <c r="F59" s="3">
        <v>13</v>
      </c>
      <c r="G59" s="3">
        <v>383</v>
      </c>
      <c r="I59" t="str">
        <f t="shared" si="0"/>
        <v>R</v>
      </c>
      <c r="J59" t="str">
        <f t="shared" si="1"/>
        <v>M</v>
      </c>
      <c r="K59">
        <v>383</v>
      </c>
      <c r="M59" t="s">
        <v>470</v>
      </c>
    </row>
    <row r="60" spans="5:13" x14ac:dyDescent="0.2">
      <c r="F60" s="4"/>
    </row>
    <row r="172" spans="21:21" x14ac:dyDescent="0.2">
      <c r="U172" s="5" t="s">
        <v>386</v>
      </c>
    </row>
  </sheetData>
  <mergeCells count="2">
    <mergeCell ref="B21:D21"/>
    <mergeCell ref="T32:AJ32"/>
  </mergeCell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80A3B-D599-C44F-94EF-FC7E21BE7861}">
  <sheetPr codeName="Sheet6"/>
  <dimension ref="A1:AS61"/>
  <sheetViews>
    <sheetView topLeftCell="A31" zoomScaleNormal="100" workbookViewId="0">
      <selection activeCell="N58" sqref="N58"/>
    </sheetView>
  </sheetViews>
  <sheetFormatPr baseColWidth="10" defaultRowHeight="16" x14ac:dyDescent="0.2"/>
  <cols>
    <col min="8" max="8" width="10.83203125" style="4"/>
    <col min="11" max="11" width="10.83203125" style="4"/>
    <col min="19" max="19" width="19.33203125" customWidth="1"/>
    <col min="35" max="35" width="20" customWidth="1"/>
  </cols>
  <sheetData>
    <row r="1" spans="1:45" ht="34" x14ac:dyDescent="0.2">
      <c r="A1" t="s">
        <v>35</v>
      </c>
      <c r="B1" t="s">
        <v>2</v>
      </c>
      <c r="E1" t="s">
        <v>2</v>
      </c>
      <c r="F1" t="s">
        <v>3</v>
      </c>
      <c r="G1" t="s">
        <v>4</v>
      </c>
      <c r="L1" t="s">
        <v>52</v>
      </c>
      <c r="M1" t="s">
        <v>53</v>
      </c>
      <c r="O1" s="17"/>
      <c r="T1" t="s">
        <v>36</v>
      </c>
      <c r="U1" t="s">
        <v>38</v>
      </c>
      <c r="V1" t="s">
        <v>37</v>
      </c>
      <c r="W1" t="s">
        <v>39</v>
      </c>
      <c r="X1" t="s">
        <v>40</v>
      </c>
      <c r="Y1" t="s">
        <v>20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s="8" t="s">
        <v>361</v>
      </c>
      <c r="AJ1" s="8">
        <v>1792</v>
      </c>
      <c r="AQ1" s="2" t="s">
        <v>2</v>
      </c>
      <c r="AR1" s="2" t="s">
        <v>3</v>
      </c>
      <c r="AS1" s="2" t="s">
        <v>4</v>
      </c>
    </row>
    <row r="2" spans="1:45" ht="34" x14ac:dyDescent="0.2">
      <c r="A2" t="s">
        <v>36</v>
      </c>
      <c r="B2">
        <v>1</v>
      </c>
      <c r="C2" t="s">
        <v>5</v>
      </c>
      <c r="E2">
        <v>1</v>
      </c>
      <c r="F2">
        <v>2</v>
      </c>
      <c r="G2">
        <v>50</v>
      </c>
      <c r="I2" t="str">
        <f>VLOOKUP(E2,$B$2:$C$16,2,FALSE)</f>
        <v>A</v>
      </c>
      <c r="J2" t="str">
        <f>VLOOKUP(F2,$B$2:$C$16,2,FALSE)</f>
        <v>B</v>
      </c>
      <c r="K2" s="4">
        <v>50</v>
      </c>
      <c r="L2" t="s">
        <v>161</v>
      </c>
      <c r="M2" t="s">
        <v>101</v>
      </c>
      <c r="S2" s="8" t="s">
        <v>358</v>
      </c>
      <c r="AI2" s="8" t="s">
        <v>362</v>
      </c>
      <c r="AJ2" s="8">
        <f>2.75*9*18</f>
        <v>445.5</v>
      </c>
      <c r="AQ2" s="2" t="s">
        <v>5</v>
      </c>
      <c r="AR2" s="2" t="s">
        <v>12</v>
      </c>
      <c r="AS2" s="2">
        <v>50</v>
      </c>
    </row>
    <row r="3" spans="1:45" x14ac:dyDescent="0.2">
      <c r="A3" t="s">
        <v>38</v>
      </c>
      <c r="B3">
        <v>2</v>
      </c>
      <c r="C3" t="s">
        <v>12</v>
      </c>
      <c r="E3">
        <v>1</v>
      </c>
      <c r="F3">
        <v>3</v>
      </c>
      <c r="G3">
        <v>53</v>
      </c>
      <c r="I3" t="str">
        <f t="shared" ref="I3:I61" si="0">VLOOKUP(E3,$B$2:$C$16,2,FALSE)</f>
        <v>A</v>
      </c>
      <c r="J3" t="str">
        <f t="shared" ref="J3:J61" si="1">VLOOKUP(F3,$B$2:$C$16,2,FALSE)</f>
        <v>C</v>
      </c>
      <c r="K3" s="4">
        <v>53</v>
      </c>
      <c r="L3" t="s">
        <v>162</v>
      </c>
      <c r="M3" t="s">
        <v>102</v>
      </c>
      <c r="S3" t="s">
        <v>359</v>
      </c>
      <c r="T3">
        <v>678625</v>
      </c>
      <c r="U3">
        <v>371471</v>
      </c>
      <c r="V3">
        <v>340988</v>
      </c>
      <c r="W3">
        <v>242937</v>
      </c>
      <c r="X3">
        <v>733289</v>
      </c>
      <c r="Y3" s="9">
        <v>1290082</v>
      </c>
      <c r="Z3">
        <v>741758</v>
      </c>
      <c r="AA3">
        <v>206749</v>
      </c>
      <c r="AB3">
        <v>225336</v>
      </c>
      <c r="AC3">
        <v>259822</v>
      </c>
      <c r="AD3">
        <v>208733</v>
      </c>
      <c r="AE3">
        <v>132845</v>
      </c>
      <c r="AF3">
        <v>249600</v>
      </c>
      <c r="AG3">
        <v>103648</v>
      </c>
      <c r="AH3">
        <v>122879</v>
      </c>
      <c r="AQ3" s="2" t="s">
        <v>5</v>
      </c>
      <c r="AR3" s="2" t="s">
        <v>15</v>
      </c>
      <c r="AS3" s="2">
        <v>53</v>
      </c>
    </row>
    <row r="4" spans="1:45" ht="17" x14ac:dyDescent="0.2">
      <c r="A4" t="s">
        <v>37</v>
      </c>
      <c r="B4">
        <v>3</v>
      </c>
      <c r="C4" t="s">
        <v>15</v>
      </c>
      <c r="E4">
        <v>1</v>
      </c>
      <c r="F4">
        <v>5</v>
      </c>
      <c r="G4">
        <v>52</v>
      </c>
      <c r="I4" t="str">
        <f t="shared" si="0"/>
        <v>A</v>
      </c>
      <c r="J4" t="str">
        <f t="shared" si="1"/>
        <v>E</v>
      </c>
      <c r="K4" s="4">
        <v>52</v>
      </c>
      <c r="L4" t="s">
        <v>163</v>
      </c>
      <c r="M4" t="s">
        <v>103</v>
      </c>
      <c r="S4" s="8" t="s">
        <v>360</v>
      </c>
      <c r="T4">
        <f>(T3/$AJ$1)*$AJ$2</f>
        <v>168709.50753348213</v>
      </c>
      <c r="U4">
        <f t="shared" ref="U4:AH4" si="2">(U3/$AJ$1)*$AJ$2</f>
        <v>92349.514787946435</v>
      </c>
      <c r="V4">
        <f t="shared" si="2"/>
        <v>84771.291294642855</v>
      </c>
      <c r="W4">
        <f t="shared" si="2"/>
        <v>60395.331194196435</v>
      </c>
      <c r="X4">
        <f t="shared" si="2"/>
        <v>182299.24637276787</v>
      </c>
      <c r="Y4">
        <f t="shared" si="2"/>
        <v>320720.72042410716</v>
      </c>
      <c r="Z4">
        <f t="shared" si="2"/>
        <v>184404.68136160713</v>
      </c>
      <c r="AA4">
        <f t="shared" si="2"/>
        <v>51398.816685267855</v>
      </c>
      <c r="AB4">
        <f t="shared" si="2"/>
        <v>56019.636160714283</v>
      </c>
      <c r="AC4">
        <f t="shared" si="2"/>
        <v>64593.025111607145</v>
      </c>
      <c r="AD4">
        <f t="shared" si="2"/>
        <v>51892.048828125</v>
      </c>
      <c r="AE4">
        <f t="shared" si="2"/>
        <v>33025.919363839283</v>
      </c>
      <c r="AF4">
        <f t="shared" si="2"/>
        <v>62051.78571428571</v>
      </c>
      <c r="AG4">
        <f t="shared" si="2"/>
        <v>25767.401785714286</v>
      </c>
      <c r="AH4">
        <f t="shared" si="2"/>
        <v>30548.322823660717</v>
      </c>
      <c r="AQ4" s="2" t="s">
        <v>5</v>
      </c>
      <c r="AR4" s="2" t="s">
        <v>11</v>
      </c>
      <c r="AS4" s="2">
        <v>52</v>
      </c>
    </row>
    <row r="5" spans="1:45" x14ac:dyDescent="0.2">
      <c r="A5" t="s">
        <v>39</v>
      </c>
      <c r="B5">
        <v>4</v>
      </c>
      <c r="C5" t="s">
        <v>13</v>
      </c>
      <c r="E5">
        <v>2</v>
      </c>
      <c r="F5">
        <v>5</v>
      </c>
      <c r="G5">
        <v>87</v>
      </c>
      <c r="I5" t="str">
        <f t="shared" si="0"/>
        <v>B</v>
      </c>
      <c r="J5" t="str">
        <f t="shared" si="1"/>
        <v>E</v>
      </c>
      <c r="K5" s="4">
        <v>87</v>
      </c>
      <c r="L5" t="s">
        <v>164</v>
      </c>
      <c r="M5" t="s">
        <v>104</v>
      </c>
      <c r="T5" t="s">
        <v>5</v>
      </c>
      <c r="U5" t="s">
        <v>12</v>
      </c>
      <c r="V5" t="s">
        <v>15</v>
      </c>
      <c r="W5" t="s">
        <v>13</v>
      </c>
      <c r="X5" t="s">
        <v>11</v>
      </c>
      <c r="Y5" t="s">
        <v>14</v>
      </c>
      <c r="Z5" t="s">
        <v>16</v>
      </c>
      <c r="AA5" t="s">
        <v>6</v>
      </c>
      <c r="AB5" t="s">
        <v>7</v>
      </c>
      <c r="AC5" t="s">
        <v>8</v>
      </c>
      <c r="AD5" t="s">
        <v>9</v>
      </c>
      <c r="AE5" t="s">
        <v>10</v>
      </c>
      <c r="AF5" t="s">
        <v>50</v>
      </c>
      <c r="AG5" t="s">
        <v>51</v>
      </c>
      <c r="AH5" t="s">
        <v>100</v>
      </c>
      <c r="AQ5" s="2" t="s">
        <v>12</v>
      </c>
      <c r="AR5" s="2" t="s">
        <v>11</v>
      </c>
      <c r="AS5" s="2">
        <v>87</v>
      </c>
    </row>
    <row r="6" spans="1:45" x14ac:dyDescent="0.2">
      <c r="A6" t="s">
        <v>40</v>
      </c>
      <c r="B6">
        <v>5</v>
      </c>
      <c r="C6" t="s">
        <v>11</v>
      </c>
      <c r="E6">
        <v>2</v>
      </c>
      <c r="F6">
        <v>6</v>
      </c>
      <c r="G6">
        <v>375</v>
      </c>
      <c r="I6" t="str">
        <f t="shared" si="0"/>
        <v>B</v>
      </c>
      <c r="J6" t="str">
        <f t="shared" si="1"/>
        <v>F</v>
      </c>
      <c r="K6" s="4">
        <v>428</v>
      </c>
      <c r="L6" t="s">
        <v>165</v>
      </c>
      <c r="M6" t="s">
        <v>105</v>
      </c>
      <c r="T6">
        <v>168709.50753348213</v>
      </c>
      <c r="U6">
        <v>92349.514787946435</v>
      </c>
      <c r="V6">
        <v>84771.291294642855</v>
      </c>
      <c r="W6">
        <v>60395.331194196435</v>
      </c>
      <c r="X6">
        <v>182299.24637276787</v>
      </c>
      <c r="Y6">
        <v>320720.72042410716</v>
      </c>
      <c r="Z6">
        <v>184404.68136160713</v>
      </c>
      <c r="AA6">
        <v>51398.816685267855</v>
      </c>
      <c r="AB6">
        <v>56019.636160714283</v>
      </c>
      <c r="AC6">
        <v>64593.025111607145</v>
      </c>
      <c r="AD6">
        <v>51892.048828125</v>
      </c>
      <c r="AE6">
        <v>33025.919363839283</v>
      </c>
      <c r="AF6">
        <v>62051.78571428571</v>
      </c>
      <c r="AG6">
        <v>25767.401785714286</v>
      </c>
      <c r="AH6">
        <v>30548.322823660717</v>
      </c>
      <c r="AQ6" s="2" t="s">
        <v>12</v>
      </c>
      <c r="AR6" s="2" t="s">
        <v>14</v>
      </c>
      <c r="AS6" s="2">
        <v>428</v>
      </c>
    </row>
    <row r="7" spans="1:45" x14ac:dyDescent="0.2">
      <c r="A7" t="s">
        <v>20</v>
      </c>
      <c r="B7">
        <v>6</v>
      </c>
      <c r="C7" t="s">
        <v>14</v>
      </c>
      <c r="E7">
        <v>3</v>
      </c>
      <c r="F7">
        <v>6</v>
      </c>
      <c r="G7">
        <v>390</v>
      </c>
      <c r="I7" t="str">
        <f t="shared" si="0"/>
        <v>C</v>
      </c>
      <c r="J7" t="str">
        <f t="shared" si="1"/>
        <v>F</v>
      </c>
      <c r="K7" s="4">
        <v>390</v>
      </c>
      <c r="L7" t="s">
        <v>166</v>
      </c>
      <c r="M7" t="s">
        <v>106</v>
      </c>
      <c r="AQ7" s="2" t="s">
        <v>15</v>
      </c>
      <c r="AR7" s="2" t="s">
        <v>14</v>
      </c>
      <c r="AS7" s="2">
        <v>390</v>
      </c>
    </row>
    <row r="8" spans="1:45" x14ac:dyDescent="0.2">
      <c r="A8" t="s">
        <v>41</v>
      </c>
      <c r="B8">
        <v>7</v>
      </c>
      <c r="C8" t="s">
        <v>16</v>
      </c>
      <c r="E8">
        <v>3</v>
      </c>
      <c r="F8">
        <v>13</v>
      </c>
      <c r="G8">
        <v>44</v>
      </c>
      <c r="I8" t="str">
        <f t="shared" si="0"/>
        <v>C</v>
      </c>
      <c r="J8" t="str">
        <f t="shared" si="1"/>
        <v>M</v>
      </c>
      <c r="K8" s="4">
        <v>44</v>
      </c>
      <c r="L8" t="s">
        <v>167</v>
      </c>
      <c r="M8" t="s">
        <v>107</v>
      </c>
      <c r="S8" t="s">
        <v>360</v>
      </c>
      <c r="AQ8" s="2" t="s">
        <v>15</v>
      </c>
      <c r="AR8" s="2" t="s">
        <v>50</v>
      </c>
      <c r="AS8" s="2">
        <v>44</v>
      </c>
    </row>
    <row r="9" spans="1:45" x14ac:dyDescent="0.2">
      <c r="A9" t="s">
        <v>42</v>
      </c>
      <c r="B9">
        <v>8</v>
      </c>
      <c r="C9" t="s">
        <v>6</v>
      </c>
      <c r="E9">
        <v>4</v>
      </c>
      <c r="F9">
        <v>5</v>
      </c>
      <c r="G9">
        <v>192</v>
      </c>
      <c r="I9" t="str">
        <f t="shared" si="0"/>
        <v>D</v>
      </c>
      <c r="J9" t="str">
        <f t="shared" si="1"/>
        <v>E</v>
      </c>
      <c r="K9" s="4">
        <v>192</v>
      </c>
      <c r="L9" t="s">
        <v>168</v>
      </c>
      <c r="M9" t="s">
        <v>108</v>
      </c>
      <c r="S9" t="s">
        <v>191</v>
      </c>
      <c r="T9" t="s">
        <v>360</v>
      </c>
      <c r="AQ9" s="2" t="s">
        <v>13</v>
      </c>
      <c r="AR9" s="2" t="s">
        <v>11</v>
      </c>
      <c r="AS9" s="2">
        <v>192</v>
      </c>
    </row>
    <row r="10" spans="1:45" x14ac:dyDescent="0.2">
      <c r="A10" t="s">
        <v>43</v>
      </c>
      <c r="B10">
        <v>9</v>
      </c>
      <c r="C10" t="s">
        <v>7</v>
      </c>
      <c r="E10">
        <v>4</v>
      </c>
      <c r="F10">
        <v>12</v>
      </c>
      <c r="G10">
        <v>271</v>
      </c>
      <c r="I10" t="str">
        <f t="shared" si="0"/>
        <v>D</v>
      </c>
      <c r="J10" t="str">
        <f t="shared" si="1"/>
        <v>L</v>
      </c>
      <c r="K10" s="4">
        <v>271</v>
      </c>
      <c r="L10" t="s">
        <v>169</v>
      </c>
      <c r="M10" t="s">
        <v>109</v>
      </c>
      <c r="S10" t="s">
        <v>5</v>
      </c>
      <c r="T10" s="10">
        <v>168709.50753348213</v>
      </c>
      <c r="U10" t="s">
        <v>401</v>
      </c>
      <c r="AQ10" s="2" t="s">
        <v>13</v>
      </c>
      <c r="AR10" s="2" t="s">
        <v>10</v>
      </c>
      <c r="AS10" s="2">
        <v>271</v>
      </c>
    </row>
    <row r="11" spans="1:45" x14ac:dyDescent="0.2">
      <c r="A11" t="s">
        <v>44</v>
      </c>
      <c r="B11">
        <v>10</v>
      </c>
      <c r="C11" t="s">
        <v>8</v>
      </c>
      <c r="E11">
        <v>4</v>
      </c>
      <c r="F11">
        <v>7</v>
      </c>
      <c r="G11">
        <v>149</v>
      </c>
      <c r="I11" t="str">
        <f t="shared" si="0"/>
        <v>D</v>
      </c>
      <c r="J11" t="str">
        <f t="shared" si="1"/>
        <v>G</v>
      </c>
      <c r="K11" s="4">
        <v>149</v>
      </c>
      <c r="L11" t="s">
        <v>170</v>
      </c>
      <c r="M11" t="s">
        <v>110</v>
      </c>
      <c r="S11" t="s">
        <v>12</v>
      </c>
      <c r="T11" s="10">
        <v>92349.514787946435</v>
      </c>
      <c r="U11" t="s">
        <v>402</v>
      </c>
      <c r="AQ11" s="2" t="s">
        <v>13</v>
      </c>
      <c r="AR11" s="2" t="s">
        <v>16</v>
      </c>
      <c r="AS11" s="2">
        <v>149</v>
      </c>
    </row>
    <row r="12" spans="1:45" x14ac:dyDescent="0.2">
      <c r="A12" t="s">
        <v>45</v>
      </c>
      <c r="B12">
        <v>11</v>
      </c>
      <c r="C12" t="s">
        <v>9</v>
      </c>
      <c r="E12">
        <v>4</v>
      </c>
      <c r="F12">
        <v>14</v>
      </c>
      <c r="G12">
        <v>300</v>
      </c>
      <c r="I12" t="str">
        <f t="shared" si="0"/>
        <v>D</v>
      </c>
      <c r="J12" t="str">
        <f t="shared" si="1"/>
        <v>N</v>
      </c>
      <c r="K12" s="4">
        <v>300</v>
      </c>
      <c r="L12" t="s">
        <v>171</v>
      </c>
      <c r="M12" t="s">
        <v>111</v>
      </c>
      <c r="S12" t="s">
        <v>15</v>
      </c>
      <c r="T12" s="10">
        <v>84771.291294642855</v>
      </c>
      <c r="U12" t="s">
        <v>403</v>
      </c>
      <c r="AQ12" s="2" t="s">
        <v>13</v>
      </c>
      <c r="AR12" s="2" t="s">
        <v>51</v>
      </c>
      <c r="AS12" s="2">
        <v>300</v>
      </c>
    </row>
    <row r="13" spans="1:45" x14ac:dyDescent="0.2">
      <c r="A13" t="s">
        <v>46</v>
      </c>
      <c r="B13">
        <v>12</v>
      </c>
      <c r="C13" t="s">
        <v>10</v>
      </c>
      <c r="E13">
        <v>4</v>
      </c>
      <c r="F13">
        <v>8</v>
      </c>
      <c r="G13">
        <v>238</v>
      </c>
      <c r="I13" t="str">
        <f t="shared" si="0"/>
        <v>D</v>
      </c>
      <c r="J13" t="str">
        <f t="shared" si="1"/>
        <v>H</v>
      </c>
      <c r="K13" s="4">
        <v>238</v>
      </c>
      <c r="L13" t="s">
        <v>172</v>
      </c>
      <c r="M13" t="s">
        <v>112</v>
      </c>
      <c r="S13" t="s">
        <v>13</v>
      </c>
      <c r="T13" s="10">
        <v>60395.331194196435</v>
      </c>
      <c r="U13" t="s">
        <v>404</v>
      </c>
      <c r="AQ13" s="2" t="s">
        <v>13</v>
      </c>
      <c r="AR13" s="2" t="s">
        <v>6</v>
      </c>
      <c r="AS13" s="2">
        <v>238</v>
      </c>
    </row>
    <row r="14" spans="1:45" x14ac:dyDescent="0.2">
      <c r="A14" t="s">
        <v>47</v>
      </c>
      <c r="B14">
        <v>13</v>
      </c>
      <c r="C14" t="s">
        <v>50</v>
      </c>
      <c r="E14">
        <v>5</v>
      </c>
      <c r="F14">
        <v>6</v>
      </c>
      <c r="G14">
        <v>336</v>
      </c>
      <c r="I14" t="str">
        <f t="shared" si="0"/>
        <v>E</v>
      </c>
      <c r="J14" t="str">
        <f t="shared" si="1"/>
        <v>F</v>
      </c>
      <c r="K14" s="4">
        <v>336</v>
      </c>
      <c r="L14" t="s">
        <v>173</v>
      </c>
      <c r="M14" t="s">
        <v>113</v>
      </c>
      <c r="S14" t="s">
        <v>11</v>
      </c>
      <c r="T14" s="10">
        <v>182299.24637276787</v>
      </c>
      <c r="U14" t="s">
        <v>405</v>
      </c>
      <c r="AQ14" s="2" t="s">
        <v>11</v>
      </c>
      <c r="AR14" s="2" t="s">
        <v>14</v>
      </c>
      <c r="AS14" s="2">
        <v>336</v>
      </c>
    </row>
    <row r="15" spans="1:45" x14ac:dyDescent="0.2">
      <c r="A15" t="s">
        <v>48</v>
      </c>
      <c r="B15">
        <v>14</v>
      </c>
      <c r="C15" t="s">
        <v>51</v>
      </c>
      <c r="E15">
        <v>5</v>
      </c>
      <c r="F15">
        <v>11</v>
      </c>
      <c r="G15">
        <v>172</v>
      </c>
      <c r="I15" t="str">
        <f t="shared" si="0"/>
        <v>E</v>
      </c>
      <c r="J15" t="str">
        <f t="shared" si="1"/>
        <v>K</v>
      </c>
      <c r="K15" s="4">
        <v>172</v>
      </c>
      <c r="L15" t="s">
        <v>174</v>
      </c>
      <c r="M15" t="s">
        <v>114</v>
      </c>
      <c r="S15" t="s">
        <v>14</v>
      </c>
      <c r="T15" s="10">
        <v>320720.72042410716</v>
      </c>
      <c r="U15" t="s">
        <v>406</v>
      </c>
      <c r="AQ15" s="2" t="s">
        <v>11</v>
      </c>
      <c r="AR15" s="2" t="s">
        <v>9</v>
      </c>
      <c r="AS15" s="2">
        <v>172</v>
      </c>
    </row>
    <row r="16" spans="1:45" x14ac:dyDescent="0.2">
      <c r="A16" t="s">
        <v>49</v>
      </c>
      <c r="B16">
        <v>15</v>
      </c>
      <c r="C16" t="s">
        <v>100</v>
      </c>
      <c r="E16">
        <v>5</v>
      </c>
      <c r="F16">
        <v>7</v>
      </c>
      <c r="G16">
        <v>82</v>
      </c>
      <c r="I16" t="str">
        <f t="shared" si="0"/>
        <v>E</v>
      </c>
      <c r="J16" t="str">
        <f t="shared" si="1"/>
        <v>G</v>
      </c>
      <c r="K16" s="4">
        <v>82</v>
      </c>
      <c r="L16" t="s">
        <v>175</v>
      </c>
      <c r="M16" t="s">
        <v>115</v>
      </c>
      <c r="S16" t="s">
        <v>16</v>
      </c>
      <c r="T16" s="10">
        <v>184404.68136160713</v>
      </c>
      <c r="U16" t="s">
        <v>407</v>
      </c>
      <c r="AQ16" s="2" t="s">
        <v>11</v>
      </c>
      <c r="AR16" s="2" t="s">
        <v>16</v>
      </c>
      <c r="AS16" s="2">
        <v>82</v>
      </c>
    </row>
    <row r="17" spans="1:45" x14ac:dyDescent="0.2">
      <c r="A17" t="s">
        <v>473</v>
      </c>
      <c r="E17">
        <v>5</v>
      </c>
      <c r="F17">
        <v>14</v>
      </c>
      <c r="G17">
        <v>195</v>
      </c>
      <c r="I17" t="str">
        <f t="shared" si="0"/>
        <v>E</v>
      </c>
      <c r="J17" t="str">
        <f t="shared" si="1"/>
        <v>N</v>
      </c>
      <c r="K17" s="4">
        <v>195</v>
      </c>
      <c r="L17" t="s">
        <v>176</v>
      </c>
      <c r="M17" t="s">
        <v>116</v>
      </c>
      <c r="S17" t="s">
        <v>6</v>
      </c>
      <c r="T17" s="10">
        <v>51398.816685267855</v>
      </c>
      <c r="U17" t="s">
        <v>408</v>
      </c>
      <c r="AQ17" s="2" t="s">
        <v>11</v>
      </c>
      <c r="AR17" s="2" t="s">
        <v>51</v>
      </c>
      <c r="AS17" s="2">
        <v>195</v>
      </c>
    </row>
    <row r="18" spans="1:45" x14ac:dyDescent="0.2">
      <c r="E18">
        <v>5</v>
      </c>
      <c r="F18">
        <v>10</v>
      </c>
      <c r="G18">
        <v>122</v>
      </c>
      <c r="I18" t="str">
        <f t="shared" si="0"/>
        <v>E</v>
      </c>
      <c r="J18" t="str">
        <f t="shared" si="1"/>
        <v>J</v>
      </c>
      <c r="K18" s="4">
        <v>122</v>
      </c>
      <c r="L18" t="s">
        <v>177</v>
      </c>
      <c r="M18" t="s">
        <v>117</v>
      </c>
      <c r="S18" t="s">
        <v>7</v>
      </c>
      <c r="T18" s="10">
        <v>56019.636160714283</v>
      </c>
      <c r="U18" t="s">
        <v>409</v>
      </c>
      <c r="AQ18" s="2" t="s">
        <v>11</v>
      </c>
      <c r="AR18" s="2" t="s">
        <v>8</v>
      </c>
      <c r="AS18" s="2">
        <v>122</v>
      </c>
    </row>
    <row r="19" spans="1:45" x14ac:dyDescent="0.2">
      <c r="E19">
        <v>5</v>
      </c>
      <c r="F19">
        <v>8</v>
      </c>
      <c r="G19">
        <v>108</v>
      </c>
      <c r="I19" t="str">
        <f t="shared" si="0"/>
        <v>E</v>
      </c>
      <c r="J19" t="str">
        <f t="shared" si="1"/>
        <v>H</v>
      </c>
      <c r="K19" s="4">
        <v>108</v>
      </c>
      <c r="L19" t="s">
        <v>178</v>
      </c>
      <c r="M19" t="s">
        <v>118</v>
      </c>
      <c r="S19" t="s">
        <v>8</v>
      </c>
      <c r="T19" s="10">
        <v>64593.025111607145</v>
      </c>
      <c r="U19" t="s">
        <v>410</v>
      </c>
      <c r="AQ19" s="2" t="s">
        <v>11</v>
      </c>
      <c r="AR19" s="2" t="s">
        <v>6</v>
      </c>
      <c r="AS19" s="2">
        <v>108</v>
      </c>
    </row>
    <row r="20" spans="1:45" x14ac:dyDescent="0.2">
      <c r="E20">
        <v>6</v>
      </c>
      <c r="F20">
        <v>9</v>
      </c>
      <c r="G20">
        <v>375</v>
      </c>
      <c r="I20" t="str">
        <f t="shared" si="0"/>
        <v>F</v>
      </c>
      <c r="J20" t="str">
        <f t="shared" si="1"/>
        <v>I</v>
      </c>
      <c r="K20" s="4">
        <v>487</v>
      </c>
      <c r="L20" t="s">
        <v>179</v>
      </c>
      <c r="M20" t="s">
        <v>119</v>
      </c>
      <c r="S20" t="s">
        <v>9</v>
      </c>
      <c r="T20" s="10">
        <v>51892.048828125</v>
      </c>
      <c r="U20" t="s">
        <v>411</v>
      </c>
      <c r="AQ20" s="2" t="s">
        <v>14</v>
      </c>
      <c r="AR20" s="2" t="s">
        <v>7</v>
      </c>
      <c r="AS20" s="2">
        <v>487</v>
      </c>
    </row>
    <row r="21" spans="1:45" x14ac:dyDescent="0.2">
      <c r="E21">
        <v>6</v>
      </c>
      <c r="F21">
        <v>7</v>
      </c>
      <c r="G21">
        <v>357</v>
      </c>
      <c r="I21" t="str">
        <f t="shared" si="0"/>
        <v>F</v>
      </c>
      <c r="J21" t="str">
        <f t="shared" si="1"/>
        <v>G</v>
      </c>
      <c r="K21" s="4">
        <v>437</v>
      </c>
      <c r="L21" t="s">
        <v>180</v>
      </c>
      <c r="M21" t="s">
        <v>120</v>
      </c>
      <c r="S21" t="s">
        <v>10</v>
      </c>
      <c r="T21" s="10">
        <v>33025.919363839283</v>
      </c>
      <c r="U21" t="s">
        <v>412</v>
      </c>
      <c r="AQ21" s="2" t="s">
        <v>14</v>
      </c>
      <c r="AR21" s="2" t="s">
        <v>16</v>
      </c>
      <c r="AS21" s="2">
        <v>437</v>
      </c>
    </row>
    <row r="22" spans="1:45" x14ac:dyDescent="0.2">
      <c r="E22">
        <v>7</v>
      </c>
      <c r="F22">
        <v>11</v>
      </c>
      <c r="G22">
        <v>105</v>
      </c>
      <c r="I22" t="str">
        <f t="shared" si="0"/>
        <v>G</v>
      </c>
      <c r="J22" t="str">
        <f t="shared" si="1"/>
        <v>K</v>
      </c>
      <c r="K22" s="4">
        <v>105</v>
      </c>
      <c r="L22" t="s">
        <v>181</v>
      </c>
      <c r="M22" t="s">
        <v>121</v>
      </c>
      <c r="S22" t="s">
        <v>50</v>
      </c>
      <c r="T22" s="10">
        <v>62051.78571428571</v>
      </c>
      <c r="U22" t="s">
        <v>413</v>
      </c>
      <c r="AQ22" s="2" t="s">
        <v>16</v>
      </c>
      <c r="AR22" s="2" t="s">
        <v>9</v>
      </c>
      <c r="AS22" s="2">
        <v>105</v>
      </c>
    </row>
    <row r="23" spans="1:45" x14ac:dyDescent="0.2">
      <c r="E23">
        <v>7</v>
      </c>
      <c r="F23">
        <v>9</v>
      </c>
      <c r="G23">
        <v>122</v>
      </c>
      <c r="I23" t="str">
        <f t="shared" si="0"/>
        <v>G</v>
      </c>
      <c r="J23" t="str">
        <f t="shared" si="1"/>
        <v>I</v>
      </c>
      <c r="K23" s="4">
        <v>122</v>
      </c>
      <c r="L23" t="s">
        <v>182</v>
      </c>
      <c r="M23" t="s">
        <v>122</v>
      </c>
      <c r="S23" t="s">
        <v>51</v>
      </c>
      <c r="T23" s="10">
        <v>25767.401785714286</v>
      </c>
      <c r="U23" t="s">
        <v>414</v>
      </c>
      <c r="AQ23" s="2" t="s">
        <v>16</v>
      </c>
      <c r="AR23" s="2" t="s">
        <v>7</v>
      </c>
      <c r="AS23" s="2">
        <v>122</v>
      </c>
    </row>
    <row r="24" spans="1:45" x14ac:dyDescent="0.2">
      <c r="E24">
        <v>8</v>
      </c>
      <c r="F24">
        <v>10</v>
      </c>
      <c r="G24">
        <v>113</v>
      </c>
      <c r="I24" t="str">
        <f t="shared" si="0"/>
        <v>H</v>
      </c>
      <c r="J24" t="str">
        <f t="shared" si="1"/>
        <v>J</v>
      </c>
      <c r="K24" s="4">
        <v>113</v>
      </c>
      <c r="L24" t="s">
        <v>183</v>
      </c>
      <c r="M24" t="s">
        <v>123</v>
      </c>
      <c r="S24" t="s">
        <v>100</v>
      </c>
      <c r="T24" s="10">
        <v>30548.322823660717</v>
      </c>
      <c r="U24" t="s">
        <v>415</v>
      </c>
      <c r="AQ24" s="2" t="s">
        <v>6</v>
      </c>
      <c r="AR24" s="2" t="s">
        <v>8</v>
      </c>
      <c r="AS24" s="2">
        <v>113</v>
      </c>
    </row>
    <row r="25" spans="1:45" x14ac:dyDescent="0.2">
      <c r="E25">
        <v>9</v>
      </c>
      <c r="F25">
        <v>10</v>
      </c>
      <c r="G25">
        <v>64</v>
      </c>
      <c r="I25" t="str">
        <f t="shared" si="0"/>
        <v>I</v>
      </c>
      <c r="J25" t="str">
        <f t="shared" si="1"/>
        <v>J</v>
      </c>
      <c r="K25" s="4">
        <v>64</v>
      </c>
      <c r="L25" t="s">
        <v>184</v>
      </c>
      <c r="M25" t="s">
        <v>124</v>
      </c>
      <c r="AQ25" s="2" t="s">
        <v>7</v>
      </c>
      <c r="AR25" s="2" t="s">
        <v>8</v>
      </c>
      <c r="AS25" s="2">
        <v>64</v>
      </c>
    </row>
    <row r="26" spans="1:45" x14ac:dyDescent="0.2">
      <c r="E26">
        <v>11</v>
      </c>
      <c r="F26">
        <v>12</v>
      </c>
      <c r="G26">
        <v>118</v>
      </c>
      <c r="I26" t="str">
        <f t="shared" si="0"/>
        <v>K</v>
      </c>
      <c r="J26" t="str">
        <f t="shared" si="1"/>
        <v>L</v>
      </c>
      <c r="K26" s="4">
        <v>118</v>
      </c>
      <c r="L26" t="s">
        <v>185</v>
      </c>
      <c r="M26" t="s">
        <v>125</v>
      </c>
      <c r="AQ26" s="2" t="s">
        <v>9</v>
      </c>
      <c r="AR26" s="2" t="s">
        <v>10</v>
      </c>
      <c r="AS26" s="2">
        <v>118</v>
      </c>
    </row>
    <row r="27" spans="1:45" x14ac:dyDescent="0.2">
      <c r="E27">
        <v>13</v>
      </c>
      <c r="F27">
        <v>4</v>
      </c>
      <c r="G27">
        <v>200</v>
      </c>
      <c r="I27" t="str">
        <f t="shared" si="0"/>
        <v>M</v>
      </c>
      <c r="J27" t="str">
        <f t="shared" si="1"/>
        <v>D</v>
      </c>
      <c r="K27" s="4">
        <v>200</v>
      </c>
      <c r="L27" t="s">
        <v>186</v>
      </c>
      <c r="M27" t="s">
        <v>126</v>
      </c>
      <c r="AQ27" s="2" t="s">
        <v>50</v>
      </c>
      <c r="AR27" s="2" t="s">
        <v>13</v>
      </c>
      <c r="AS27" s="2">
        <v>200</v>
      </c>
    </row>
    <row r="28" spans="1:45" x14ac:dyDescent="0.2">
      <c r="E28">
        <v>13</v>
      </c>
      <c r="F28">
        <v>5</v>
      </c>
      <c r="G28">
        <v>122</v>
      </c>
      <c r="I28" t="str">
        <f t="shared" si="0"/>
        <v>M</v>
      </c>
      <c r="J28" t="str">
        <f t="shared" si="1"/>
        <v>E</v>
      </c>
      <c r="K28" s="4">
        <v>122</v>
      </c>
      <c r="L28" t="s">
        <v>187</v>
      </c>
      <c r="M28" t="s">
        <v>127</v>
      </c>
      <c r="AQ28" s="2" t="s">
        <v>50</v>
      </c>
      <c r="AR28" s="2" t="s">
        <v>11</v>
      </c>
      <c r="AS28" s="2">
        <v>122</v>
      </c>
    </row>
    <row r="29" spans="1:45" x14ac:dyDescent="0.2">
      <c r="B29" t="s">
        <v>473</v>
      </c>
      <c r="C29" t="s">
        <v>474</v>
      </c>
      <c r="E29">
        <v>14</v>
      </c>
      <c r="F29">
        <v>9</v>
      </c>
      <c r="G29">
        <v>105</v>
      </c>
      <c r="I29" t="str">
        <f t="shared" si="0"/>
        <v>N</v>
      </c>
      <c r="J29" t="str">
        <f t="shared" si="1"/>
        <v>I</v>
      </c>
      <c r="K29" s="4">
        <v>105</v>
      </c>
      <c r="L29" t="s">
        <v>188</v>
      </c>
      <c r="M29" t="s">
        <v>128</v>
      </c>
      <c r="R29" t="s">
        <v>475</v>
      </c>
      <c r="S29" t="s">
        <v>416</v>
      </c>
      <c r="AQ29" s="2" t="s">
        <v>51</v>
      </c>
      <c r="AR29" s="2" t="s">
        <v>7</v>
      </c>
      <c r="AS29" s="2">
        <v>105</v>
      </c>
    </row>
    <row r="30" spans="1:45" x14ac:dyDescent="0.2">
      <c r="E30">
        <v>15</v>
      </c>
      <c r="F30">
        <v>5</v>
      </c>
      <c r="G30">
        <v>98</v>
      </c>
      <c r="I30" t="str">
        <f t="shared" si="0"/>
        <v>O</v>
      </c>
      <c r="J30" t="str">
        <f t="shared" si="1"/>
        <v>E</v>
      </c>
      <c r="K30" s="4">
        <v>98</v>
      </c>
      <c r="L30" t="s">
        <v>189</v>
      </c>
      <c r="M30" t="s">
        <v>129</v>
      </c>
      <c r="AQ30" s="2" t="s">
        <v>100</v>
      </c>
      <c r="AR30" s="2" t="s">
        <v>11</v>
      </c>
      <c r="AS30" s="2">
        <v>98</v>
      </c>
    </row>
    <row r="31" spans="1:45" x14ac:dyDescent="0.2">
      <c r="E31">
        <v>15</v>
      </c>
      <c r="F31">
        <v>3</v>
      </c>
      <c r="G31">
        <v>183</v>
      </c>
      <c r="I31" t="str">
        <f t="shared" si="0"/>
        <v>O</v>
      </c>
      <c r="J31" t="str">
        <f t="shared" si="1"/>
        <v>C</v>
      </c>
      <c r="K31" s="4">
        <v>183</v>
      </c>
      <c r="L31" t="s">
        <v>190</v>
      </c>
      <c r="M31" t="s">
        <v>130</v>
      </c>
      <c r="AQ31" s="2" t="s">
        <v>100</v>
      </c>
      <c r="AR31" s="2" t="s">
        <v>15</v>
      </c>
      <c r="AS31" s="2">
        <v>183</v>
      </c>
    </row>
    <row r="32" spans="1:45" x14ac:dyDescent="0.2">
      <c r="E32" s="3">
        <v>2</v>
      </c>
      <c r="F32" s="3">
        <v>1</v>
      </c>
      <c r="G32" s="3">
        <v>50</v>
      </c>
      <c r="I32" t="str">
        <f t="shared" si="0"/>
        <v>B</v>
      </c>
      <c r="J32" t="str">
        <f t="shared" si="1"/>
        <v>A</v>
      </c>
      <c r="M32" t="s">
        <v>131</v>
      </c>
    </row>
    <row r="33" spans="5:13" x14ac:dyDescent="0.2">
      <c r="E33" s="3">
        <v>3</v>
      </c>
      <c r="F33" s="3">
        <v>1</v>
      </c>
      <c r="G33" s="3">
        <v>53</v>
      </c>
      <c r="I33" t="str">
        <f t="shared" si="0"/>
        <v>C</v>
      </c>
      <c r="J33" t="str">
        <f t="shared" si="1"/>
        <v>A</v>
      </c>
      <c r="M33" t="s">
        <v>132</v>
      </c>
    </row>
    <row r="34" spans="5:13" x14ac:dyDescent="0.2">
      <c r="E34" s="3">
        <v>5</v>
      </c>
      <c r="F34" s="3">
        <v>1</v>
      </c>
      <c r="G34" s="3">
        <v>52</v>
      </c>
      <c r="I34" t="str">
        <f t="shared" si="0"/>
        <v>E</v>
      </c>
      <c r="J34" t="str">
        <f t="shared" si="1"/>
        <v>A</v>
      </c>
      <c r="M34" t="s">
        <v>133</v>
      </c>
    </row>
    <row r="35" spans="5:13" x14ac:dyDescent="0.2">
      <c r="E35" s="3">
        <v>5</v>
      </c>
      <c r="F35" s="3">
        <v>2</v>
      </c>
      <c r="G35" s="3">
        <v>87</v>
      </c>
      <c r="I35" t="str">
        <f t="shared" si="0"/>
        <v>E</v>
      </c>
      <c r="J35" t="str">
        <f t="shared" si="1"/>
        <v>B</v>
      </c>
      <c r="M35" t="s">
        <v>134</v>
      </c>
    </row>
    <row r="36" spans="5:13" x14ac:dyDescent="0.2">
      <c r="E36" s="3">
        <v>6</v>
      </c>
      <c r="F36" s="3">
        <v>2</v>
      </c>
      <c r="G36" s="3">
        <v>375</v>
      </c>
      <c r="I36" t="str">
        <f t="shared" si="0"/>
        <v>F</v>
      </c>
      <c r="J36" t="str">
        <f t="shared" si="1"/>
        <v>B</v>
      </c>
      <c r="M36" t="s">
        <v>135</v>
      </c>
    </row>
    <row r="37" spans="5:13" x14ac:dyDescent="0.2">
      <c r="E37" s="3">
        <v>6</v>
      </c>
      <c r="F37" s="3">
        <v>3</v>
      </c>
      <c r="G37" s="3">
        <v>390</v>
      </c>
      <c r="I37" t="str">
        <f t="shared" si="0"/>
        <v>F</v>
      </c>
      <c r="J37" t="str">
        <f t="shared" si="1"/>
        <v>C</v>
      </c>
      <c r="M37" t="s">
        <v>136</v>
      </c>
    </row>
    <row r="38" spans="5:13" x14ac:dyDescent="0.2">
      <c r="E38" s="3">
        <v>13</v>
      </c>
      <c r="F38" s="3">
        <v>3</v>
      </c>
      <c r="G38" s="3">
        <v>44</v>
      </c>
      <c r="I38" t="str">
        <f t="shared" si="0"/>
        <v>M</v>
      </c>
      <c r="J38" t="str">
        <f t="shared" si="1"/>
        <v>C</v>
      </c>
      <c r="M38" t="s">
        <v>137</v>
      </c>
    </row>
    <row r="39" spans="5:13" x14ac:dyDescent="0.2">
      <c r="E39" s="3">
        <v>5</v>
      </c>
      <c r="F39" s="3">
        <v>4</v>
      </c>
      <c r="G39" s="3">
        <v>192</v>
      </c>
      <c r="I39" t="str">
        <f t="shared" si="0"/>
        <v>E</v>
      </c>
      <c r="J39" t="str">
        <f t="shared" si="1"/>
        <v>D</v>
      </c>
      <c r="M39" t="s">
        <v>138</v>
      </c>
    </row>
    <row r="40" spans="5:13" x14ac:dyDescent="0.2">
      <c r="E40" s="3">
        <v>12</v>
      </c>
      <c r="F40" s="3">
        <v>4</v>
      </c>
      <c r="G40" s="3">
        <v>271</v>
      </c>
      <c r="I40" t="str">
        <f t="shared" si="0"/>
        <v>L</v>
      </c>
      <c r="J40" t="str">
        <f t="shared" si="1"/>
        <v>D</v>
      </c>
      <c r="M40" t="s">
        <v>139</v>
      </c>
    </row>
    <row r="41" spans="5:13" x14ac:dyDescent="0.2">
      <c r="E41" s="3">
        <v>7</v>
      </c>
      <c r="F41" s="3">
        <v>4</v>
      </c>
      <c r="G41" s="3">
        <v>149</v>
      </c>
      <c r="I41" t="str">
        <f t="shared" si="0"/>
        <v>G</v>
      </c>
      <c r="J41" t="str">
        <f t="shared" si="1"/>
        <v>D</v>
      </c>
      <c r="M41" t="s">
        <v>140</v>
      </c>
    </row>
    <row r="42" spans="5:13" x14ac:dyDescent="0.2">
      <c r="E42" s="3">
        <v>14</v>
      </c>
      <c r="F42" s="3">
        <v>4</v>
      </c>
      <c r="G42" s="3">
        <v>300</v>
      </c>
      <c r="I42" t="str">
        <f t="shared" si="0"/>
        <v>N</v>
      </c>
      <c r="J42" t="str">
        <f t="shared" si="1"/>
        <v>D</v>
      </c>
      <c r="M42" t="s">
        <v>141</v>
      </c>
    </row>
    <row r="43" spans="5:13" x14ac:dyDescent="0.2">
      <c r="E43" s="3">
        <v>8</v>
      </c>
      <c r="F43" s="3">
        <v>4</v>
      </c>
      <c r="G43" s="3">
        <v>238</v>
      </c>
      <c r="I43" t="str">
        <f t="shared" si="0"/>
        <v>H</v>
      </c>
      <c r="J43" t="str">
        <f t="shared" si="1"/>
        <v>D</v>
      </c>
      <c r="M43" t="s">
        <v>142</v>
      </c>
    </row>
    <row r="44" spans="5:13" x14ac:dyDescent="0.2">
      <c r="E44" s="3">
        <v>6</v>
      </c>
      <c r="F44" s="3">
        <v>5</v>
      </c>
      <c r="G44" s="3">
        <v>336</v>
      </c>
      <c r="I44" t="str">
        <f t="shared" si="0"/>
        <v>F</v>
      </c>
      <c r="J44" t="str">
        <f t="shared" si="1"/>
        <v>E</v>
      </c>
      <c r="M44" t="s">
        <v>143</v>
      </c>
    </row>
    <row r="45" spans="5:13" x14ac:dyDescent="0.2">
      <c r="E45" s="3">
        <v>11</v>
      </c>
      <c r="F45" s="3">
        <v>5</v>
      </c>
      <c r="G45" s="3">
        <v>172</v>
      </c>
      <c r="I45" t="str">
        <f t="shared" si="0"/>
        <v>K</v>
      </c>
      <c r="J45" t="str">
        <f t="shared" si="1"/>
        <v>E</v>
      </c>
      <c r="M45" t="s">
        <v>144</v>
      </c>
    </row>
    <row r="46" spans="5:13" x14ac:dyDescent="0.2">
      <c r="E46" s="3">
        <v>7</v>
      </c>
      <c r="F46" s="3">
        <v>5</v>
      </c>
      <c r="G46" s="3">
        <v>82</v>
      </c>
      <c r="I46" t="str">
        <f t="shared" si="0"/>
        <v>G</v>
      </c>
      <c r="J46" t="str">
        <f t="shared" si="1"/>
        <v>E</v>
      </c>
      <c r="M46" t="s">
        <v>145</v>
      </c>
    </row>
    <row r="47" spans="5:13" x14ac:dyDescent="0.2">
      <c r="E47" s="3">
        <v>14</v>
      </c>
      <c r="F47" s="3">
        <v>5</v>
      </c>
      <c r="G47" s="3">
        <v>195</v>
      </c>
      <c r="I47" t="str">
        <f t="shared" si="0"/>
        <v>N</v>
      </c>
      <c r="J47" t="str">
        <f t="shared" si="1"/>
        <v>E</v>
      </c>
      <c r="M47" t="s">
        <v>146</v>
      </c>
    </row>
    <row r="48" spans="5:13" x14ac:dyDescent="0.2">
      <c r="E48" s="3">
        <v>10</v>
      </c>
      <c r="F48" s="3">
        <v>5</v>
      </c>
      <c r="G48" s="3">
        <v>122</v>
      </c>
      <c r="I48" t="str">
        <f t="shared" si="0"/>
        <v>J</v>
      </c>
      <c r="J48" t="str">
        <f t="shared" si="1"/>
        <v>E</v>
      </c>
      <c r="M48" t="s">
        <v>147</v>
      </c>
    </row>
    <row r="49" spans="5:13" x14ac:dyDescent="0.2">
      <c r="E49" s="3">
        <v>8</v>
      </c>
      <c r="F49" s="3">
        <v>5</v>
      </c>
      <c r="G49" s="3">
        <v>108</v>
      </c>
      <c r="I49" t="str">
        <f t="shared" si="0"/>
        <v>H</v>
      </c>
      <c r="J49" t="str">
        <f t="shared" si="1"/>
        <v>E</v>
      </c>
      <c r="M49" t="s">
        <v>148</v>
      </c>
    </row>
    <row r="50" spans="5:13" x14ac:dyDescent="0.2">
      <c r="E50" s="3">
        <v>9</v>
      </c>
      <c r="F50" s="3">
        <v>6</v>
      </c>
      <c r="G50" s="3">
        <v>375</v>
      </c>
      <c r="I50" t="str">
        <f t="shared" si="0"/>
        <v>I</v>
      </c>
      <c r="J50" t="str">
        <f t="shared" si="1"/>
        <v>F</v>
      </c>
      <c r="M50" t="s">
        <v>149</v>
      </c>
    </row>
    <row r="51" spans="5:13" x14ac:dyDescent="0.2">
      <c r="E51" s="3">
        <v>7</v>
      </c>
      <c r="F51" s="3">
        <v>6</v>
      </c>
      <c r="G51" s="3">
        <v>357</v>
      </c>
      <c r="I51" t="str">
        <f t="shared" si="0"/>
        <v>G</v>
      </c>
      <c r="J51" t="str">
        <f t="shared" si="1"/>
        <v>F</v>
      </c>
      <c r="M51" t="s">
        <v>150</v>
      </c>
    </row>
    <row r="52" spans="5:13" x14ac:dyDescent="0.2">
      <c r="E52" s="3">
        <v>11</v>
      </c>
      <c r="F52" s="3">
        <v>7</v>
      </c>
      <c r="G52" s="3">
        <v>105</v>
      </c>
      <c r="I52" t="str">
        <f t="shared" si="0"/>
        <v>K</v>
      </c>
      <c r="J52" t="str">
        <f t="shared" si="1"/>
        <v>G</v>
      </c>
      <c r="M52" t="s">
        <v>151</v>
      </c>
    </row>
    <row r="53" spans="5:13" x14ac:dyDescent="0.2">
      <c r="E53" s="3">
        <v>9</v>
      </c>
      <c r="F53" s="3">
        <v>7</v>
      </c>
      <c r="G53" s="3">
        <v>122</v>
      </c>
      <c r="I53" t="str">
        <f t="shared" si="0"/>
        <v>I</v>
      </c>
      <c r="J53" t="str">
        <f t="shared" si="1"/>
        <v>G</v>
      </c>
      <c r="M53" t="s">
        <v>152</v>
      </c>
    </row>
    <row r="54" spans="5:13" x14ac:dyDescent="0.2">
      <c r="E54" s="3">
        <v>10</v>
      </c>
      <c r="F54" s="3">
        <v>8</v>
      </c>
      <c r="G54" s="3">
        <v>113</v>
      </c>
      <c r="I54" t="str">
        <f t="shared" si="0"/>
        <v>J</v>
      </c>
      <c r="J54" t="str">
        <f t="shared" si="1"/>
        <v>H</v>
      </c>
      <c r="M54" t="s">
        <v>153</v>
      </c>
    </row>
    <row r="55" spans="5:13" x14ac:dyDescent="0.2">
      <c r="E55" s="3">
        <v>10</v>
      </c>
      <c r="F55" s="3">
        <v>9</v>
      </c>
      <c r="G55" s="3">
        <v>64</v>
      </c>
      <c r="I55" t="str">
        <f t="shared" si="0"/>
        <v>J</v>
      </c>
      <c r="J55" t="str">
        <f t="shared" si="1"/>
        <v>I</v>
      </c>
      <c r="M55" t="s">
        <v>154</v>
      </c>
    </row>
    <row r="56" spans="5:13" x14ac:dyDescent="0.2">
      <c r="E56" s="3">
        <v>12</v>
      </c>
      <c r="F56" s="3">
        <v>11</v>
      </c>
      <c r="G56" s="3">
        <v>118</v>
      </c>
      <c r="I56" t="str">
        <f t="shared" si="0"/>
        <v>L</v>
      </c>
      <c r="J56" t="str">
        <f t="shared" si="1"/>
        <v>K</v>
      </c>
      <c r="M56" t="s">
        <v>155</v>
      </c>
    </row>
    <row r="57" spans="5:13" x14ac:dyDescent="0.2">
      <c r="E57" s="3">
        <v>4</v>
      </c>
      <c r="F57" s="3">
        <v>13</v>
      </c>
      <c r="G57" s="3">
        <v>200</v>
      </c>
      <c r="I57" t="str">
        <f t="shared" si="0"/>
        <v>D</v>
      </c>
      <c r="J57" t="str">
        <f t="shared" si="1"/>
        <v>M</v>
      </c>
      <c r="M57" t="s">
        <v>156</v>
      </c>
    </row>
    <row r="58" spans="5:13" x14ac:dyDescent="0.2">
      <c r="E58" s="3">
        <v>5</v>
      </c>
      <c r="F58" s="3">
        <v>13</v>
      </c>
      <c r="G58" s="3">
        <v>122</v>
      </c>
      <c r="I58" t="str">
        <f t="shared" si="0"/>
        <v>E</v>
      </c>
      <c r="J58" t="str">
        <f t="shared" si="1"/>
        <v>M</v>
      </c>
      <c r="M58" t="s">
        <v>157</v>
      </c>
    </row>
    <row r="59" spans="5:13" x14ac:dyDescent="0.2">
      <c r="E59" s="3">
        <v>9</v>
      </c>
      <c r="F59" s="3">
        <v>14</v>
      </c>
      <c r="G59" s="3">
        <v>105</v>
      </c>
      <c r="I59" t="str">
        <f t="shared" si="0"/>
        <v>I</v>
      </c>
      <c r="J59" t="str">
        <f t="shared" si="1"/>
        <v>N</v>
      </c>
      <c r="M59" t="s">
        <v>158</v>
      </c>
    </row>
    <row r="60" spans="5:13" x14ac:dyDescent="0.2">
      <c r="E60" s="3">
        <v>5</v>
      </c>
      <c r="F60" s="3">
        <v>15</v>
      </c>
      <c r="G60" s="3">
        <v>98</v>
      </c>
      <c r="I60" t="str">
        <f t="shared" si="0"/>
        <v>E</v>
      </c>
      <c r="J60" t="str">
        <f t="shared" si="1"/>
        <v>O</v>
      </c>
      <c r="M60" t="s">
        <v>159</v>
      </c>
    </row>
    <row r="61" spans="5:13" x14ac:dyDescent="0.2">
      <c r="E61" s="3">
        <v>3</v>
      </c>
      <c r="F61" s="3">
        <v>15</v>
      </c>
      <c r="G61" s="3">
        <v>183</v>
      </c>
      <c r="I61" t="str">
        <f t="shared" si="0"/>
        <v>C</v>
      </c>
      <c r="J61" t="str">
        <f t="shared" si="1"/>
        <v>O</v>
      </c>
      <c r="M61" t="s">
        <v>160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32246-8219-1442-9405-CFDE37D0C8E3}">
  <sheetPr codeName="Sheet7"/>
  <dimension ref="A1:AX126"/>
  <sheetViews>
    <sheetView topLeftCell="B28" zoomScale="117" zoomScaleNormal="117" workbookViewId="0">
      <selection activeCell="L45" sqref="L45:L87"/>
    </sheetView>
  </sheetViews>
  <sheetFormatPr baseColWidth="10" defaultRowHeight="16" x14ac:dyDescent="0.2"/>
  <cols>
    <col min="19" max="19" width="22" customWidth="1"/>
  </cols>
  <sheetData>
    <row r="1" spans="1:50" ht="51" x14ac:dyDescent="0.2">
      <c r="A1" s="1" t="s">
        <v>191</v>
      </c>
      <c r="B1" s="1" t="s">
        <v>192</v>
      </c>
      <c r="E1" s="1" t="s">
        <v>2</v>
      </c>
      <c r="F1" s="1" t="s">
        <v>3</v>
      </c>
      <c r="G1" s="6" t="s">
        <v>229</v>
      </c>
      <c r="H1" s="6"/>
      <c r="L1" t="s">
        <v>52</v>
      </c>
      <c r="M1" t="s">
        <v>53</v>
      </c>
      <c r="T1" s="1" t="s">
        <v>193</v>
      </c>
      <c r="U1" s="1" t="s">
        <v>194</v>
      </c>
      <c r="V1" s="1" t="s">
        <v>195</v>
      </c>
      <c r="W1" s="1" t="s">
        <v>196</v>
      </c>
      <c r="X1" s="1" t="s">
        <v>197</v>
      </c>
      <c r="Y1" s="1" t="s">
        <v>198</v>
      </c>
      <c r="Z1" s="1" t="s">
        <v>199</v>
      </c>
      <c r="AA1" s="1" t="s">
        <v>19</v>
      </c>
      <c r="AB1" s="1" t="s">
        <v>200</v>
      </c>
      <c r="AC1" s="1" t="s">
        <v>201</v>
      </c>
      <c r="AD1" s="1" t="s">
        <v>202</v>
      </c>
      <c r="AE1" s="1" t="s">
        <v>203</v>
      </c>
      <c r="AF1" s="1" t="s">
        <v>204</v>
      </c>
      <c r="AG1" s="1" t="s">
        <v>205</v>
      </c>
      <c r="AH1" s="1" t="s">
        <v>206</v>
      </c>
      <c r="AI1" s="1" t="s">
        <v>207</v>
      </c>
      <c r="AJ1" s="1" t="s">
        <v>208</v>
      </c>
      <c r="AK1" s="1" t="s">
        <v>209</v>
      </c>
      <c r="AL1" s="1" t="s">
        <v>210</v>
      </c>
      <c r="AM1" s="1" t="s">
        <v>211</v>
      </c>
      <c r="AN1" s="1" t="s">
        <v>212</v>
      </c>
      <c r="AO1" s="1" t="s">
        <v>213</v>
      </c>
      <c r="AP1" s="1" t="s">
        <v>214</v>
      </c>
      <c r="AQ1" s="1" t="s">
        <v>215</v>
      </c>
      <c r="AR1" s="1" t="s">
        <v>216</v>
      </c>
      <c r="AS1" s="1" t="s">
        <v>217</v>
      </c>
      <c r="AT1" s="1" t="s">
        <v>218</v>
      </c>
      <c r="AW1" s="8" t="s">
        <v>361</v>
      </c>
      <c r="AX1" s="8">
        <v>1792</v>
      </c>
    </row>
    <row r="2" spans="1:50" ht="68" x14ac:dyDescent="0.2">
      <c r="A2" s="1" t="s">
        <v>193</v>
      </c>
      <c r="B2" s="1">
        <v>1</v>
      </c>
      <c r="C2" t="s">
        <v>5</v>
      </c>
      <c r="D2" s="1" t="s">
        <v>193</v>
      </c>
      <c r="E2" s="1">
        <v>1</v>
      </c>
      <c r="F2" s="1">
        <v>2</v>
      </c>
      <c r="G2" s="1">
        <v>267</v>
      </c>
      <c r="H2" s="11"/>
      <c r="I2" s="4" t="str">
        <f>VLOOKUP(E2,$B$2:$C$28,2,FALSE)</f>
        <v>A</v>
      </c>
      <c r="J2" s="4" t="str">
        <f>VLOOKUP(F2,$B$2:$C$28,2,FALSE)</f>
        <v>B</v>
      </c>
      <c r="K2" s="1">
        <v>267</v>
      </c>
      <c r="L2" t="s">
        <v>230</v>
      </c>
      <c r="M2" t="s">
        <v>231</v>
      </c>
      <c r="S2" s="8" t="s">
        <v>358</v>
      </c>
      <c r="AW2" s="8" t="s">
        <v>362</v>
      </c>
      <c r="AX2" s="8">
        <f>2.75*9*18</f>
        <v>445.5</v>
      </c>
    </row>
    <row r="3" spans="1:50" x14ac:dyDescent="0.2">
      <c r="A3" s="1" t="s">
        <v>194</v>
      </c>
      <c r="B3" s="1">
        <v>2</v>
      </c>
      <c r="C3" t="s">
        <v>12</v>
      </c>
      <c r="D3" s="1" t="s">
        <v>194</v>
      </c>
      <c r="E3" s="1">
        <v>1</v>
      </c>
      <c r="F3" s="1">
        <v>3</v>
      </c>
      <c r="G3" s="1">
        <v>321</v>
      </c>
      <c r="H3" s="11"/>
      <c r="I3" s="4" t="str">
        <f>VLOOKUP(E3,$B$2:$C$28,2,FALSE)</f>
        <v>A</v>
      </c>
      <c r="J3" s="4" t="str">
        <f>VLOOKUP(F3,$B$2:$C$28,2,FALSE)</f>
        <v>C</v>
      </c>
      <c r="K3" s="1">
        <v>321</v>
      </c>
      <c r="L3" t="s">
        <v>232</v>
      </c>
      <c r="M3" t="s">
        <v>233</v>
      </c>
      <c r="S3" t="s">
        <v>359</v>
      </c>
      <c r="T3">
        <v>205700</v>
      </c>
      <c r="U3">
        <v>142503</v>
      </c>
      <c r="V3">
        <v>401415</v>
      </c>
      <c r="W3">
        <v>412369</v>
      </c>
      <c r="X3">
        <v>379780</v>
      </c>
      <c r="Y3">
        <v>303849</v>
      </c>
      <c r="Z3">
        <v>229135</v>
      </c>
      <c r="AA3">
        <v>592171</v>
      </c>
      <c r="AB3">
        <v>269924</v>
      </c>
      <c r="AC3">
        <v>289000</v>
      </c>
      <c r="AD3">
        <v>349600</v>
      </c>
      <c r="AE3">
        <v>347800</v>
      </c>
      <c r="AF3">
        <v>670000</v>
      </c>
      <c r="AG3">
        <v>357239</v>
      </c>
      <c r="AH3">
        <v>689419</v>
      </c>
      <c r="AI3">
        <v>468661</v>
      </c>
      <c r="AJ3">
        <v>1400000</v>
      </c>
      <c r="AK3">
        <v>1082871</v>
      </c>
      <c r="AL3">
        <v>89688</v>
      </c>
      <c r="AM3">
        <v>596200</v>
      </c>
      <c r="AN3">
        <v>431581</v>
      </c>
      <c r="AO3">
        <v>730200</v>
      </c>
      <c r="AP3">
        <v>398356</v>
      </c>
      <c r="AQ3">
        <v>201900</v>
      </c>
      <c r="AR3">
        <v>1872547</v>
      </c>
      <c r="AS3">
        <v>433900</v>
      </c>
      <c r="AT3">
        <v>420123</v>
      </c>
    </row>
    <row r="4" spans="1:50" ht="17" x14ac:dyDescent="0.2">
      <c r="A4" s="1" t="s">
        <v>195</v>
      </c>
      <c r="B4" s="1">
        <v>3</v>
      </c>
      <c r="C4" t="s">
        <v>15</v>
      </c>
      <c r="D4" s="1" t="s">
        <v>195</v>
      </c>
      <c r="E4" s="1">
        <v>1</v>
      </c>
      <c r="F4" s="1">
        <v>5</v>
      </c>
      <c r="G4" s="1">
        <v>159</v>
      </c>
      <c r="H4" s="11"/>
      <c r="I4" s="4" t="str">
        <f>VLOOKUP(E4,$B$2:$C$28,2,FALSE)</f>
        <v>A</v>
      </c>
      <c r="J4" s="4" t="str">
        <f>VLOOKUP(F4,$B$2:$C$28,2,FALSE)</f>
        <v>E</v>
      </c>
      <c r="K4" s="1">
        <v>159</v>
      </c>
      <c r="L4" t="s">
        <v>234</v>
      </c>
      <c r="M4" t="s">
        <v>235</v>
      </c>
      <c r="S4" s="8" t="s">
        <v>360</v>
      </c>
      <c r="T4">
        <f>(T3/$AX$1)*$AX$2</f>
        <v>51138.030133928572</v>
      </c>
      <c r="U4">
        <f t="shared" ref="U4:AT4" si="0">(U3/$AX$1)*$AX$2</f>
        <v>35426.945591517855</v>
      </c>
      <c r="V4">
        <f t="shared" si="0"/>
        <v>99793.740234375</v>
      </c>
      <c r="W4">
        <f t="shared" si="0"/>
        <v>102516.95842633929</v>
      </c>
      <c r="X4">
        <f t="shared" si="0"/>
        <v>94415.172991071435</v>
      </c>
      <c r="Y4">
        <f t="shared" si="0"/>
        <v>75538.353515625</v>
      </c>
      <c r="Z4">
        <f t="shared" si="0"/>
        <v>56964.086216517855</v>
      </c>
      <c r="AA4">
        <f t="shared" si="0"/>
        <v>147216.61858258929</v>
      </c>
      <c r="AB4">
        <f t="shared" si="0"/>
        <v>67104.431919642855</v>
      </c>
      <c r="AC4">
        <f t="shared" si="0"/>
        <v>71846.819196428565</v>
      </c>
      <c r="AD4">
        <f t="shared" si="0"/>
        <v>86912.27678571429</v>
      </c>
      <c r="AE4">
        <f t="shared" si="0"/>
        <v>86464.787946428565</v>
      </c>
      <c r="AF4">
        <f t="shared" si="0"/>
        <v>166565.29017857142</v>
      </c>
      <c r="AG4">
        <f t="shared" si="0"/>
        <v>88811.36969866071</v>
      </c>
      <c r="AH4">
        <f t="shared" si="0"/>
        <v>171392.94893973213</v>
      </c>
      <c r="AI4">
        <f t="shared" si="0"/>
        <v>116511.42606026787</v>
      </c>
      <c r="AJ4">
        <f t="shared" si="0"/>
        <v>348046.875</v>
      </c>
      <c r="AK4">
        <f t="shared" si="0"/>
        <v>269207.04827008926</v>
      </c>
      <c r="AL4">
        <f t="shared" si="0"/>
        <v>22296.877232142859</v>
      </c>
      <c r="AM4">
        <f t="shared" si="0"/>
        <v>148218.24776785713</v>
      </c>
      <c r="AN4">
        <f t="shared" si="0"/>
        <v>107293.15597098214</v>
      </c>
      <c r="AO4">
        <f t="shared" si="0"/>
        <v>181531.30580357142</v>
      </c>
      <c r="AP4">
        <f t="shared" si="0"/>
        <v>99033.2578125</v>
      </c>
      <c r="AQ4">
        <f t="shared" si="0"/>
        <v>50193.331473214283</v>
      </c>
      <c r="AR4">
        <f t="shared" si="0"/>
        <v>465524.37974330352</v>
      </c>
      <c r="AS4">
        <f t="shared" si="0"/>
        <v>107869.67075892857</v>
      </c>
      <c r="AT4">
        <f t="shared" si="0"/>
        <v>104444.64090401786</v>
      </c>
    </row>
    <row r="5" spans="1:50" x14ac:dyDescent="0.2">
      <c r="A5" s="1" t="s">
        <v>196</v>
      </c>
      <c r="B5" s="1">
        <v>4</v>
      </c>
      <c r="C5" t="s">
        <v>13</v>
      </c>
      <c r="D5" s="1" t="s">
        <v>196</v>
      </c>
      <c r="E5" s="1">
        <v>2</v>
      </c>
      <c r="F5" s="1">
        <v>5</v>
      </c>
      <c r="G5" s="1">
        <v>231</v>
      </c>
      <c r="H5" s="11"/>
      <c r="I5" s="4" t="str">
        <f>VLOOKUP(E5,$B$2:$C$28,2,FALSE)</f>
        <v>B</v>
      </c>
      <c r="J5" s="4" t="str">
        <f>VLOOKUP(F5,$B$2:$C$28,2,FALSE)</f>
        <v>E</v>
      </c>
      <c r="K5" s="1">
        <v>231</v>
      </c>
      <c r="L5" t="s">
        <v>237</v>
      </c>
      <c r="M5" t="s">
        <v>238</v>
      </c>
      <c r="T5" t="s">
        <v>5</v>
      </c>
      <c r="U5" t="s">
        <v>12</v>
      </c>
      <c r="V5" t="s">
        <v>15</v>
      </c>
      <c r="W5" t="s">
        <v>13</v>
      </c>
      <c r="X5" t="s">
        <v>11</v>
      </c>
      <c r="Y5" t="s">
        <v>14</v>
      </c>
      <c r="Z5" t="s">
        <v>16</v>
      </c>
      <c r="AA5" t="s">
        <v>6</v>
      </c>
      <c r="AB5" t="s">
        <v>7</v>
      </c>
      <c r="AC5" t="s">
        <v>8</v>
      </c>
      <c r="AD5" t="s">
        <v>9</v>
      </c>
      <c r="AE5" t="s">
        <v>10</v>
      </c>
      <c r="AF5" t="s">
        <v>50</v>
      </c>
      <c r="AG5" t="s">
        <v>51</v>
      </c>
      <c r="AH5" t="s">
        <v>100</v>
      </c>
      <c r="AI5" t="s">
        <v>219</v>
      </c>
      <c r="AJ5" t="s">
        <v>220</v>
      </c>
      <c r="AK5" t="s">
        <v>221</v>
      </c>
      <c r="AL5" t="s">
        <v>222</v>
      </c>
      <c r="AM5" t="s">
        <v>223</v>
      </c>
      <c r="AN5" t="s">
        <v>224</v>
      </c>
      <c r="AO5" t="s">
        <v>225</v>
      </c>
      <c r="AP5" t="s">
        <v>226</v>
      </c>
      <c r="AQ5" t="s">
        <v>0</v>
      </c>
      <c r="AR5" t="s">
        <v>1</v>
      </c>
      <c r="AS5" t="s">
        <v>227</v>
      </c>
      <c r="AT5" t="s">
        <v>228</v>
      </c>
    </row>
    <row r="6" spans="1:50" x14ac:dyDescent="0.2">
      <c r="A6" s="1" t="s">
        <v>197</v>
      </c>
      <c r="B6" s="1">
        <v>5</v>
      </c>
      <c r="C6" t="s">
        <v>11</v>
      </c>
      <c r="D6" s="1" t="s">
        <v>197</v>
      </c>
      <c r="E6" s="1">
        <v>2</v>
      </c>
      <c r="F6" s="1">
        <v>7</v>
      </c>
      <c r="G6" s="1">
        <v>167</v>
      </c>
      <c r="H6" s="11"/>
      <c r="I6" s="4" t="str">
        <f>VLOOKUP(E6,$B$2:$C$28,2,FALSE)</f>
        <v>B</v>
      </c>
      <c r="J6" s="4" t="str">
        <f>VLOOKUP(F6,$B$2:$C$28,2,FALSE)</f>
        <v>G</v>
      </c>
      <c r="K6" s="1">
        <v>167</v>
      </c>
      <c r="L6" t="s">
        <v>239</v>
      </c>
      <c r="M6" t="s">
        <v>240</v>
      </c>
      <c r="T6">
        <v>51138.030133928572</v>
      </c>
      <c r="U6">
        <v>35426.945591517855</v>
      </c>
      <c r="V6">
        <v>99793.740234375</v>
      </c>
      <c r="W6">
        <v>102516.95842633929</v>
      </c>
      <c r="X6">
        <v>94415.172991071435</v>
      </c>
      <c r="Y6">
        <v>75538.353515625</v>
      </c>
      <c r="Z6">
        <v>56964.086216517855</v>
      </c>
      <c r="AA6">
        <v>147216.61858258929</v>
      </c>
      <c r="AB6">
        <v>67104.431919642855</v>
      </c>
      <c r="AC6">
        <v>71846.819196428565</v>
      </c>
      <c r="AD6">
        <v>86912.27678571429</v>
      </c>
      <c r="AE6">
        <v>86464.787946428565</v>
      </c>
      <c r="AF6">
        <v>166565.29017857142</v>
      </c>
      <c r="AG6">
        <v>88811.36969866071</v>
      </c>
      <c r="AH6">
        <v>171392.94893973213</v>
      </c>
      <c r="AI6">
        <v>116511.42606026787</v>
      </c>
      <c r="AJ6">
        <v>348046.875</v>
      </c>
      <c r="AK6">
        <v>269207.04827008926</v>
      </c>
      <c r="AL6">
        <v>22296.877232142859</v>
      </c>
      <c r="AM6">
        <v>148218.24776785713</v>
      </c>
      <c r="AN6">
        <v>107293.15597098214</v>
      </c>
      <c r="AO6">
        <v>181531.30580357142</v>
      </c>
      <c r="AP6">
        <v>99033.2578125</v>
      </c>
      <c r="AQ6">
        <v>50193.331473214283</v>
      </c>
      <c r="AR6">
        <v>465524.37974330352</v>
      </c>
      <c r="AS6">
        <v>107869.67075892857</v>
      </c>
      <c r="AT6">
        <v>104444.64090401786</v>
      </c>
    </row>
    <row r="7" spans="1:50" x14ac:dyDescent="0.2">
      <c r="A7" s="1" t="s">
        <v>198</v>
      </c>
      <c r="B7" s="1">
        <v>6</v>
      </c>
      <c r="C7" t="s">
        <v>14</v>
      </c>
      <c r="D7" s="1" t="s">
        <v>198</v>
      </c>
      <c r="E7" s="1">
        <v>3</v>
      </c>
      <c r="F7" s="1">
        <v>11</v>
      </c>
      <c r="G7" s="1">
        <v>254</v>
      </c>
      <c r="H7" s="11"/>
      <c r="I7" s="4" t="str">
        <f>VLOOKUP(E7,$B$2:$C$28,2,FALSE)</f>
        <v>C</v>
      </c>
      <c r="J7" s="4" t="str">
        <f>VLOOKUP(F7,$B$2:$C$28,2,FALSE)</f>
        <v>K</v>
      </c>
      <c r="K7" s="1">
        <v>254</v>
      </c>
      <c r="L7" t="s">
        <v>241</v>
      </c>
      <c r="M7" t="s">
        <v>242</v>
      </c>
    </row>
    <row r="8" spans="1:50" ht="17" x14ac:dyDescent="0.2">
      <c r="A8" s="1" t="s">
        <v>199</v>
      </c>
      <c r="B8" s="1">
        <v>7</v>
      </c>
      <c r="C8" t="s">
        <v>16</v>
      </c>
      <c r="D8" s="1" t="s">
        <v>199</v>
      </c>
      <c r="E8" s="1">
        <v>3</v>
      </c>
      <c r="F8" s="1">
        <v>4</v>
      </c>
      <c r="G8" s="1">
        <v>216</v>
      </c>
      <c r="H8" s="11"/>
      <c r="I8" s="4" t="str">
        <f>VLOOKUP(E8,$B$2:$C$28,2,FALSE)</f>
        <v>C</v>
      </c>
      <c r="J8" s="4" t="str">
        <f>VLOOKUP(F8,$B$2:$C$28,2,FALSE)</f>
        <v>D</v>
      </c>
      <c r="K8" s="1">
        <v>216</v>
      </c>
      <c r="L8" t="s">
        <v>243</v>
      </c>
      <c r="M8" t="s">
        <v>244</v>
      </c>
      <c r="S8" s="8" t="s">
        <v>360</v>
      </c>
    </row>
    <row r="9" spans="1:50" x14ac:dyDescent="0.2">
      <c r="A9" s="1" t="s">
        <v>19</v>
      </c>
      <c r="B9" s="1">
        <v>8</v>
      </c>
      <c r="C9" t="s">
        <v>6</v>
      </c>
      <c r="D9" s="1" t="s">
        <v>19</v>
      </c>
      <c r="E9" s="1">
        <v>4</v>
      </c>
      <c r="F9" s="1">
        <v>6</v>
      </c>
      <c r="G9" s="1">
        <v>120</v>
      </c>
      <c r="H9" s="11"/>
      <c r="I9" s="4" t="str">
        <f>VLOOKUP(E9,$B$2:$C$28,2,FALSE)</f>
        <v>D</v>
      </c>
      <c r="J9" s="4" t="str">
        <f>VLOOKUP(F9,$B$2:$C$28,2,FALSE)</f>
        <v>F</v>
      </c>
      <c r="K9" s="1">
        <v>120</v>
      </c>
      <c r="L9" t="s">
        <v>246</v>
      </c>
      <c r="M9" t="s">
        <v>247</v>
      </c>
      <c r="S9">
        <v>51138.030133928572</v>
      </c>
      <c r="T9" t="s">
        <v>5</v>
      </c>
      <c r="U9" t="s">
        <v>417</v>
      </c>
    </row>
    <row r="10" spans="1:50" x14ac:dyDescent="0.2">
      <c r="A10" s="1" t="s">
        <v>200</v>
      </c>
      <c r="B10" s="1">
        <v>9</v>
      </c>
      <c r="C10" t="s">
        <v>7</v>
      </c>
      <c r="D10" s="1" t="s">
        <v>200</v>
      </c>
      <c r="E10" s="1">
        <v>4</v>
      </c>
      <c r="F10" s="1">
        <v>5</v>
      </c>
      <c r="G10" s="1">
        <v>70</v>
      </c>
      <c r="H10" s="11"/>
      <c r="I10" s="4" t="str">
        <f>VLOOKUP(E10,$B$2:$C$28,2,FALSE)</f>
        <v>D</v>
      </c>
      <c r="J10" s="4" t="str">
        <f>VLOOKUP(F10,$B$2:$C$28,2,FALSE)</f>
        <v>E</v>
      </c>
      <c r="K10" s="1">
        <v>70</v>
      </c>
      <c r="L10" t="s">
        <v>248</v>
      </c>
      <c r="M10" t="s">
        <v>249</v>
      </c>
      <c r="S10">
        <v>35426.945591517855</v>
      </c>
      <c r="T10" t="s">
        <v>12</v>
      </c>
      <c r="U10" t="s">
        <v>418</v>
      </c>
    </row>
    <row r="11" spans="1:50" x14ac:dyDescent="0.2">
      <c r="A11" s="1" t="s">
        <v>201</v>
      </c>
      <c r="B11" s="1">
        <v>10</v>
      </c>
      <c r="C11" t="s">
        <v>8</v>
      </c>
      <c r="D11" s="1" t="s">
        <v>201</v>
      </c>
      <c r="E11" s="1">
        <v>6</v>
      </c>
      <c r="F11" s="1">
        <v>7</v>
      </c>
      <c r="G11" s="1">
        <v>170</v>
      </c>
      <c r="H11" s="11"/>
      <c r="I11" s="4" t="str">
        <f>VLOOKUP(E11,$B$2:$C$28,2,FALSE)</f>
        <v>F</v>
      </c>
      <c r="J11" s="4" t="str">
        <f>VLOOKUP(F11,$B$2:$C$28,2,FALSE)</f>
        <v>G</v>
      </c>
      <c r="K11" s="1">
        <v>170</v>
      </c>
      <c r="L11" t="s">
        <v>255</v>
      </c>
      <c r="M11" t="s">
        <v>256</v>
      </c>
      <c r="S11">
        <v>99793.740234375</v>
      </c>
      <c r="T11" t="s">
        <v>15</v>
      </c>
      <c r="U11" t="s">
        <v>419</v>
      </c>
    </row>
    <row r="12" spans="1:50" x14ac:dyDescent="0.2">
      <c r="A12" s="1" t="s">
        <v>202</v>
      </c>
      <c r="B12" s="1">
        <v>11</v>
      </c>
      <c r="C12" t="s">
        <v>9</v>
      </c>
      <c r="D12" s="1" t="s">
        <v>202</v>
      </c>
      <c r="E12" s="1">
        <v>6</v>
      </c>
      <c r="F12" s="1">
        <v>9</v>
      </c>
      <c r="G12" s="1">
        <v>76</v>
      </c>
      <c r="H12" s="11"/>
      <c r="I12" s="4" t="str">
        <f>VLOOKUP(E12,$B$2:$C$28,2,FALSE)</f>
        <v>F</v>
      </c>
      <c r="J12" s="4" t="str">
        <f>VLOOKUP(F12,$B$2:$C$28,2,FALSE)</f>
        <v>I</v>
      </c>
      <c r="K12" s="1">
        <v>76</v>
      </c>
      <c r="L12" t="s">
        <v>257</v>
      </c>
      <c r="M12" t="s">
        <v>258</v>
      </c>
      <c r="S12">
        <v>102516.95842633929</v>
      </c>
      <c r="T12" t="s">
        <v>13</v>
      </c>
      <c r="U12" t="s">
        <v>420</v>
      </c>
    </row>
    <row r="13" spans="1:50" x14ac:dyDescent="0.2">
      <c r="A13" s="1" t="s">
        <v>203</v>
      </c>
      <c r="B13" s="1">
        <v>12</v>
      </c>
      <c r="C13" t="s">
        <v>10</v>
      </c>
      <c r="D13" s="1" t="s">
        <v>203</v>
      </c>
      <c r="E13" s="1">
        <v>7</v>
      </c>
      <c r="F13" s="1">
        <v>8</v>
      </c>
      <c r="G13" s="1">
        <v>181</v>
      </c>
      <c r="H13" s="11"/>
      <c r="I13" s="4" t="str">
        <f>VLOOKUP(E13,$B$2:$C$28,2,FALSE)</f>
        <v>G</v>
      </c>
      <c r="J13" s="4" t="str">
        <f>VLOOKUP(F13,$B$2:$C$28,2,FALSE)</f>
        <v>H</v>
      </c>
      <c r="K13" s="1">
        <v>181</v>
      </c>
      <c r="L13" t="s">
        <v>261</v>
      </c>
      <c r="M13" t="s">
        <v>262</v>
      </c>
      <c r="S13">
        <v>94415.172991071435</v>
      </c>
      <c r="T13" t="s">
        <v>11</v>
      </c>
      <c r="U13" t="s">
        <v>421</v>
      </c>
    </row>
    <row r="14" spans="1:50" x14ac:dyDescent="0.2">
      <c r="A14" s="1" t="s">
        <v>204</v>
      </c>
      <c r="B14" s="1">
        <v>13</v>
      </c>
      <c r="C14" t="s">
        <v>50</v>
      </c>
      <c r="D14" s="1" t="s">
        <v>204</v>
      </c>
      <c r="E14" s="1">
        <v>8</v>
      </c>
      <c r="F14" s="1">
        <v>10</v>
      </c>
      <c r="G14" s="1">
        <v>131</v>
      </c>
      <c r="H14" s="11"/>
      <c r="I14" s="4" t="str">
        <f>VLOOKUP(E14,$B$2:$C$28,2,FALSE)</f>
        <v>H</v>
      </c>
      <c r="J14" s="4" t="str">
        <f>VLOOKUP(F14,$B$2:$C$28,2,FALSE)</f>
        <v>J</v>
      </c>
      <c r="K14" s="1">
        <v>131</v>
      </c>
      <c r="L14" t="s">
        <v>263</v>
      </c>
      <c r="M14" t="s">
        <v>264</v>
      </c>
      <c r="S14">
        <v>75538.353515625</v>
      </c>
      <c r="T14" t="s">
        <v>14</v>
      </c>
      <c r="U14" t="s">
        <v>422</v>
      </c>
    </row>
    <row r="15" spans="1:50" x14ac:dyDescent="0.2">
      <c r="A15" s="1" t="s">
        <v>205</v>
      </c>
      <c r="B15" s="1">
        <v>14</v>
      </c>
      <c r="C15" t="s">
        <v>51</v>
      </c>
      <c r="D15" s="1" t="s">
        <v>205</v>
      </c>
      <c r="E15" s="1">
        <v>9</v>
      </c>
      <c r="F15" s="1">
        <v>10</v>
      </c>
      <c r="G15" s="1">
        <v>67</v>
      </c>
      <c r="H15" s="11"/>
      <c r="I15" s="4" t="str">
        <f>VLOOKUP(E15,$B$2:$C$28,2,FALSE)</f>
        <v>I</v>
      </c>
      <c r="J15" s="4" t="str">
        <f>VLOOKUP(F15,$B$2:$C$28,2,FALSE)</f>
        <v>J</v>
      </c>
      <c r="K15" s="1">
        <v>67</v>
      </c>
      <c r="L15" t="s">
        <v>267</v>
      </c>
      <c r="M15" t="s">
        <v>268</v>
      </c>
      <c r="S15">
        <v>56964.086216517855</v>
      </c>
      <c r="T15" t="s">
        <v>16</v>
      </c>
      <c r="U15" t="s">
        <v>423</v>
      </c>
    </row>
    <row r="16" spans="1:50" x14ac:dyDescent="0.2">
      <c r="A16" s="1" t="s">
        <v>206</v>
      </c>
      <c r="B16" s="1">
        <v>15</v>
      </c>
      <c r="C16" t="s">
        <v>100</v>
      </c>
      <c r="D16" s="1" t="s">
        <v>206</v>
      </c>
      <c r="E16" s="1">
        <v>9</v>
      </c>
      <c r="F16" s="1">
        <v>12</v>
      </c>
      <c r="G16" s="1">
        <v>148</v>
      </c>
      <c r="H16" s="11"/>
      <c r="I16" s="4" t="str">
        <f>VLOOKUP(E16,$B$2:$C$28,2,FALSE)</f>
        <v>I</v>
      </c>
      <c r="J16" s="4" t="str">
        <f>VLOOKUP(F16,$B$2:$C$28,2,FALSE)</f>
        <v>L</v>
      </c>
      <c r="K16" s="1">
        <v>148</v>
      </c>
      <c r="L16" t="s">
        <v>269</v>
      </c>
      <c r="M16" t="s">
        <v>270</v>
      </c>
      <c r="S16">
        <v>147216.61858258929</v>
      </c>
      <c r="T16" t="s">
        <v>6</v>
      </c>
      <c r="U16" t="s">
        <v>424</v>
      </c>
    </row>
    <row r="17" spans="1:21" x14ac:dyDescent="0.2">
      <c r="A17" s="1" t="s">
        <v>207</v>
      </c>
      <c r="B17" s="1">
        <v>16</v>
      </c>
      <c r="C17" t="s">
        <v>219</v>
      </c>
      <c r="D17" s="1" t="s">
        <v>207</v>
      </c>
      <c r="E17" s="1">
        <v>10</v>
      </c>
      <c r="F17" s="1">
        <v>13</v>
      </c>
      <c r="G17" s="1">
        <v>93</v>
      </c>
      <c r="H17" s="11"/>
      <c r="I17" s="4" t="str">
        <f>VLOOKUP(E17,$B$2:$C$28,2,FALSE)</f>
        <v>J</v>
      </c>
      <c r="J17" s="4" t="str">
        <f>VLOOKUP(F17,$B$2:$C$28,2,FALSE)</f>
        <v>M</v>
      </c>
      <c r="K17" s="1">
        <v>93</v>
      </c>
      <c r="L17" t="s">
        <v>273</v>
      </c>
      <c r="M17" t="s">
        <v>274</v>
      </c>
      <c r="S17">
        <v>67104.431919642855</v>
      </c>
      <c r="T17" t="s">
        <v>7</v>
      </c>
      <c r="U17" t="s">
        <v>425</v>
      </c>
    </row>
    <row r="18" spans="1:21" x14ac:dyDescent="0.2">
      <c r="A18" s="1" t="s">
        <v>208</v>
      </c>
      <c r="B18" s="1">
        <v>17</v>
      </c>
      <c r="C18" t="s">
        <v>220</v>
      </c>
      <c r="D18" s="1" t="s">
        <v>208</v>
      </c>
      <c r="E18" s="1">
        <v>10</v>
      </c>
      <c r="F18" s="1">
        <v>14</v>
      </c>
      <c r="G18" s="1">
        <v>44</v>
      </c>
      <c r="H18" s="11"/>
      <c r="I18" s="4" t="str">
        <f>VLOOKUP(E18,$B$2:$C$28,2,FALSE)</f>
        <v>J</v>
      </c>
      <c r="J18" s="4" t="str">
        <f>VLOOKUP(F18,$B$2:$C$28,2,FALSE)</f>
        <v>N</v>
      </c>
      <c r="K18" s="1">
        <v>44</v>
      </c>
      <c r="L18" t="s">
        <v>275</v>
      </c>
      <c r="M18" t="s">
        <v>276</v>
      </c>
      <c r="S18">
        <v>71846.819196428565</v>
      </c>
      <c r="T18" t="s">
        <v>8</v>
      </c>
      <c r="U18" t="s">
        <v>426</v>
      </c>
    </row>
    <row r="19" spans="1:21" x14ac:dyDescent="0.2">
      <c r="A19" s="1" t="s">
        <v>209</v>
      </c>
      <c r="B19" s="1">
        <v>18</v>
      </c>
      <c r="C19" t="s">
        <v>221</v>
      </c>
      <c r="D19" s="1" t="s">
        <v>209</v>
      </c>
      <c r="E19" s="1">
        <v>11</v>
      </c>
      <c r="F19" s="1">
        <v>12</v>
      </c>
      <c r="G19" s="1">
        <v>58</v>
      </c>
      <c r="H19" s="11"/>
      <c r="I19" s="4" t="str">
        <f>VLOOKUP(E19,$B$2:$C$28,2,FALSE)</f>
        <v>K</v>
      </c>
      <c r="J19" s="4" t="str">
        <f>VLOOKUP(F19,$B$2:$C$28,2,FALSE)</f>
        <v>L</v>
      </c>
      <c r="K19" s="1">
        <v>58</v>
      </c>
      <c r="L19" t="s">
        <v>278</v>
      </c>
      <c r="M19" t="s">
        <v>279</v>
      </c>
      <c r="S19">
        <v>86912.27678571429</v>
      </c>
      <c r="T19" t="s">
        <v>9</v>
      </c>
      <c r="U19" t="s">
        <v>427</v>
      </c>
    </row>
    <row r="20" spans="1:21" x14ac:dyDescent="0.2">
      <c r="A20" s="1" t="s">
        <v>210</v>
      </c>
      <c r="B20" s="1">
        <v>19</v>
      </c>
      <c r="C20" t="s">
        <v>222</v>
      </c>
      <c r="D20" s="1" t="s">
        <v>210</v>
      </c>
      <c r="E20" s="1">
        <v>12</v>
      </c>
      <c r="F20" s="1">
        <v>9</v>
      </c>
      <c r="G20" s="1">
        <v>148</v>
      </c>
      <c r="H20" s="11"/>
      <c r="I20" s="4" t="str">
        <f>VLOOKUP(E20,$B$2:$C$28,2,FALSE)</f>
        <v>L</v>
      </c>
      <c r="J20" s="4" t="str">
        <f>VLOOKUP(F20,$B$2:$C$28,2,FALSE)</f>
        <v>I</v>
      </c>
      <c r="K20" s="1">
        <v>148</v>
      </c>
      <c r="L20" t="s">
        <v>281</v>
      </c>
      <c r="M20" t="s">
        <v>282</v>
      </c>
      <c r="S20">
        <v>86464.787946428565</v>
      </c>
      <c r="T20" t="s">
        <v>10</v>
      </c>
      <c r="U20" t="s">
        <v>428</v>
      </c>
    </row>
    <row r="21" spans="1:21" x14ac:dyDescent="0.2">
      <c r="A21" s="1" t="s">
        <v>211</v>
      </c>
      <c r="B21" s="1">
        <v>20</v>
      </c>
      <c r="C21" t="s">
        <v>223</v>
      </c>
      <c r="D21" s="1" t="s">
        <v>211</v>
      </c>
      <c r="E21" s="1">
        <v>12</v>
      </c>
      <c r="F21" s="1">
        <v>14</v>
      </c>
      <c r="G21" s="1">
        <v>161</v>
      </c>
      <c r="H21" s="11"/>
      <c r="I21" s="4" t="str">
        <f>VLOOKUP(E21,$B$2:$C$28,2,FALSE)</f>
        <v>L</v>
      </c>
      <c r="J21" s="4" t="str">
        <f>VLOOKUP(F21,$B$2:$C$28,2,FALSE)</f>
        <v>N</v>
      </c>
      <c r="K21" s="1">
        <v>161</v>
      </c>
      <c r="L21" t="s">
        <v>283</v>
      </c>
      <c r="M21" t="s">
        <v>284</v>
      </c>
      <c r="S21">
        <v>166565.29017857142</v>
      </c>
      <c r="T21" t="s">
        <v>50</v>
      </c>
      <c r="U21" t="s">
        <v>429</v>
      </c>
    </row>
    <row r="22" spans="1:21" x14ac:dyDescent="0.2">
      <c r="A22" s="1" t="s">
        <v>212</v>
      </c>
      <c r="B22" s="1">
        <v>21</v>
      </c>
      <c r="C22" t="s">
        <v>224</v>
      </c>
      <c r="D22" s="1" t="s">
        <v>212</v>
      </c>
      <c r="E22" s="1">
        <v>12</v>
      </c>
      <c r="F22" s="1">
        <v>15</v>
      </c>
      <c r="G22" s="1">
        <v>105</v>
      </c>
      <c r="H22" s="11"/>
      <c r="I22" s="4" t="str">
        <f>VLOOKUP(E22,$B$2:$C$28,2,FALSE)</f>
        <v>L</v>
      </c>
      <c r="J22" s="4" t="str">
        <f>VLOOKUP(F22,$B$2:$C$28,2,FALSE)</f>
        <v>O</v>
      </c>
      <c r="K22" s="1">
        <v>105</v>
      </c>
      <c r="L22" t="s">
        <v>285</v>
      </c>
      <c r="M22" t="s">
        <v>286</v>
      </c>
      <c r="S22">
        <v>88811.36969866071</v>
      </c>
      <c r="T22" t="s">
        <v>51</v>
      </c>
      <c r="U22" t="s">
        <v>430</v>
      </c>
    </row>
    <row r="23" spans="1:21" x14ac:dyDescent="0.2">
      <c r="A23" s="1" t="s">
        <v>213</v>
      </c>
      <c r="B23" s="1">
        <v>22</v>
      </c>
      <c r="C23" t="s">
        <v>225</v>
      </c>
      <c r="D23" s="1" t="s">
        <v>213</v>
      </c>
      <c r="E23" s="1">
        <v>13</v>
      </c>
      <c r="F23" s="1">
        <v>14</v>
      </c>
      <c r="G23" s="1">
        <v>60</v>
      </c>
      <c r="H23" s="11"/>
      <c r="I23" s="4" t="str">
        <f>VLOOKUP(E23,$B$2:$C$28,2,FALSE)</f>
        <v>M</v>
      </c>
      <c r="J23" s="4" t="str">
        <f>VLOOKUP(F23,$B$2:$C$28,2,FALSE)</f>
        <v>N</v>
      </c>
      <c r="K23" s="1">
        <v>60</v>
      </c>
      <c r="L23" t="s">
        <v>288</v>
      </c>
      <c r="M23" t="s">
        <v>289</v>
      </c>
      <c r="S23">
        <v>171392.94893973213</v>
      </c>
      <c r="T23" t="s">
        <v>100</v>
      </c>
      <c r="U23" t="s">
        <v>431</v>
      </c>
    </row>
    <row r="24" spans="1:21" x14ac:dyDescent="0.2">
      <c r="A24" s="1" t="s">
        <v>214</v>
      </c>
      <c r="B24" s="1">
        <v>23</v>
      </c>
      <c r="C24" t="s">
        <v>226</v>
      </c>
      <c r="D24" s="1" t="s">
        <v>214</v>
      </c>
      <c r="E24" s="1">
        <v>13</v>
      </c>
      <c r="F24" s="1">
        <v>19</v>
      </c>
      <c r="G24" s="1">
        <v>192</v>
      </c>
      <c r="H24" s="11"/>
      <c r="I24" s="4" t="str">
        <f>VLOOKUP(E24,$B$2:$C$28,2,FALSE)</f>
        <v>M</v>
      </c>
      <c r="J24" s="4" t="str">
        <f>VLOOKUP(F24,$B$2:$C$28,2,FALSE)</f>
        <v>S</v>
      </c>
      <c r="K24" s="1">
        <v>192</v>
      </c>
      <c r="L24" t="s">
        <v>290</v>
      </c>
      <c r="M24" t="s">
        <v>291</v>
      </c>
      <c r="S24">
        <v>116511.42606026787</v>
      </c>
      <c r="T24" t="s">
        <v>219</v>
      </c>
      <c r="U24" t="s">
        <v>432</v>
      </c>
    </row>
    <row r="25" spans="1:21" x14ac:dyDescent="0.2">
      <c r="A25" s="1" t="s">
        <v>215</v>
      </c>
      <c r="B25" s="1">
        <v>24</v>
      </c>
      <c r="C25" t="s">
        <v>0</v>
      </c>
      <c r="D25" s="1" t="s">
        <v>215</v>
      </c>
      <c r="E25" s="1">
        <v>13</v>
      </c>
      <c r="F25" s="1">
        <v>16</v>
      </c>
      <c r="G25" s="1">
        <v>97</v>
      </c>
      <c r="H25" s="11"/>
      <c r="I25" s="4" t="str">
        <f>VLOOKUP(E25,$B$2:$C$28,2,FALSE)</f>
        <v>M</v>
      </c>
      <c r="J25" s="4" t="str">
        <f>VLOOKUP(F25,$B$2:$C$28,2,FALSE)</f>
        <v>P</v>
      </c>
      <c r="K25" s="1">
        <v>97</v>
      </c>
      <c r="L25" t="s">
        <v>292</v>
      </c>
      <c r="M25" t="s">
        <v>293</v>
      </c>
      <c r="S25">
        <v>348046.875</v>
      </c>
      <c r="T25" t="s">
        <v>220</v>
      </c>
      <c r="U25" t="s">
        <v>433</v>
      </c>
    </row>
    <row r="26" spans="1:21" x14ac:dyDescent="0.2">
      <c r="A26" s="1" t="s">
        <v>216</v>
      </c>
      <c r="B26" s="1">
        <v>25</v>
      </c>
      <c r="C26" t="s">
        <v>1</v>
      </c>
      <c r="D26" s="1" t="s">
        <v>216</v>
      </c>
      <c r="E26" s="1">
        <v>14</v>
      </c>
      <c r="F26" s="1">
        <v>16</v>
      </c>
      <c r="G26" s="1">
        <v>67</v>
      </c>
      <c r="H26" s="11"/>
      <c r="I26" s="4" t="str">
        <f>VLOOKUP(E26,$B$2:$C$28,2,FALSE)</f>
        <v>N</v>
      </c>
      <c r="J26" s="4" t="str">
        <f>VLOOKUP(F26,$B$2:$C$28,2,FALSE)</f>
        <v>P</v>
      </c>
      <c r="K26" s="1">
        <v>67</v>
      </c>
      <c r="L26" t="s">
        <v>296</v>
      </c>
      <c r="M26" t="s">
        <v>297</v>
      </c>
      <c r="S26">
        <v>269207.04827008926</v>
      </c>
      <c r="T26" t="s">
        <v>221</v>
      </c>
      <c r="U26" t="s">
        <v>434</v>
      </c>
    </row>
    <row r="27" spans="1:21" x14ac:dyDescent="0.2">
      <c r="A27" s="1" t="s">
        <v>217</v>
      </c>
      <c r="B27" s="1">
        <v>26</v>
      </c>
      <c r="C27" t="s">
        <v>227</v>
      </c>
      <c r="D27" s="1" t="s">
        <v>217</v>
      </c>
      <c r="E27" s="1">
        <v>14</v>
      </c>
      <c r="F27" s="1">
        <v>15</v>
      </c>
      <c r="G27" s="1">
        <v>217</v>
      </c>
      <c r="H27" s="11"/>
      <c r="I27" s="4" t="str">
        <f>VLOOKUP(E27,$B$2:$C$28,2,FALSE)</f>
        <v>N</v>
      </c>
      <c r="J27" s="4" t="str">
        <f>VLOOKUP(F27,$B$2:$C$28,2,FALSE)</f>
        <v>O</v>
      </c>
      <c r="K27" s="1">
        <v>217</v>
      </c>
      <c r="L27" t="s">
        <v>298</v>
      </c>
      <c r="M27" t="s">
        <v>299</v>
      </c>
      <c r="S27">
        <v>22296.877232142859</v>
      </c>
      <c r="T27" t="s">
        <v>222</v>
      </c>
      <c r="U27" t="s">
        <v>435</v>
      </c>
    </row>
    <row r="28" spans="1:21" x14ac:dyDescent="0.2">
      <c r="A28" s="1" t="s">
        <v>218</v>
      </c>
      <c r="B28" s="1">
        <v>27</v>
      </c>
      <c r="C28" t="s">
        <v>228</v>
      </c>
      <c r="D28" s="1" t="s">
        <v>218</v>
      </c>
      <c r="E28" s="1">
        <v>15</v>
      </c>
      <c r="F28" s="1">
        <v>16</v>
      </c>
      <c r="G28" s="1">
        <v>157</v>
      </c>
      <c r="H28" s="11"/>
      <c r="I28" s="4" t="str">
        <f>VLOOKUP(E28,$B$2:$C$28,2,FALSE)</f>
        <v>O</v>
      </c>
      <c r="J28" s="4" t="str">
        <f>VLOOKUP(F28,$B$2:$C$28,2,FALSE)</f>
        <v>P</v>
      </c>
      <c r="K28" s="1">
        <v>157</v>
      </c>
      <c r="L28" t="s">
        <v>303</v>
      </c>
      <c r="M28" t="s">
        <v>304</v>
      </c>
      <c r="S28">
        <v>148218.24776785713</v>
      </c>
      <c r="T28" t="s">
        <v>223</v>
      </c>
      <c r="U28" t="s">
        <v>436</v>
      </c>
    </row>
    <row r="29" spans="1:21" x14ac:dyDescent="0.2">
      <c r="C29" t="s">
        <v>356</v>
      </c>
      <c r="E29" s="1">
        <v>15</v>
      </c>
      <c r="F29" s="1">
        <v>17</v>
      </c>
      <c r="G29" s="1">
        <v>60</v>
      </c>
      <c r="H29" s="11"/>
      <c r="I29" s="4" t="str">
        <f>VLOOKUP(E29,$B$2:$C$28,2,FALSE)</f>
        <v>O</v>
      </c>
      <c r="J29" s="4" t="str">
        <f>VLOOKUP(F29,$B$2:$C$28,2,FALSE)</f>
        <v>Q</v>
      </c>
      <c r="K29" s="1">
        <v>60</v>
      </c>
      <c r="L29" t="s">
        <v>305</v>
      </c>
      <c r="M29" t="s">
        <v>306</v>
      </c>
      <c r="S29">
        <v>107293.15597098214</v>
      </c>
      <c r="T29" t="s">
        <v>224</v>
      </c>
      <c r="U29" t="s">
        <v>437</v>
      </c>
    </row>
    <row r="30" spans="1:21" x14ac:dyDescent="0.2">
      <c r="E30" s="1">
        <v>15</v>
      </c>
      <c r="F30" s="1">
        <v>21</v>
      </c>
      <c r="G30" s="1">
        <v>175</v>
      </c>
      <c r="H30" s="11"/>
      <c r="I30" s="4" t="str">
        <f>VLOOKUP(E30,$B$2:$C$28,2,FALSE)</f>
        <v>O</v>
      </c>
      <c r="J30" s="4" t="str">
        <f>VLOOKUP(F30,$B$2:$C$28,2,FALSE)</f>
        <v>U</v>
      </c>
      <c r="K30" s="1">
        <v>175</v>
      </c>
      <c r="L30" t="s">
        <v>307</v>
      </c>
      <c r="M30" t="s">
        <v>308</v>
      </c>
      <c r="S30">
        <v>181531.30580357142</v>
      </c>
      <c r="T30" t="s">
        <v>225</v>
      </c>
      <c r="U30" t="s">
        <v>438</v>
      </c>
    </row>
    <row r="31" spans="1:21" x14ac:dyDescent="0.2">
      <c r="E31" s="1">
        <v>16</v>
      </c>
      <c r="F31" s="1">
        <v>18</v>
      </c>
      <c r="G31" s="1">
        <v>77</v>
      </c>
      <c r="H31" s="11"/>
      <c r="I31" s="4" t="str">
        <f>VLOOKUP(E31,$B$2:$C$28,2,FALSE)</f>
        <v>P</v>
      </c>
      <c r="J31" s="4" t="str">
        <f>VLOOKUP(F31,$B$2:$C$28,2,FALSE)</f>
        <v>R</v>
      </c>
      <c r="K31" s="1">
        <v>77</v>
      </c>
      <c r="L31" t="s">
        <v>312</v>
      </c>
      <c r="M31" t="s">
        <v>313</v>
      </c>
      <c r="S31">
        <v>99033.2578125</v>
      </c>
      <c r="T31" t="s">
        <v>226</v>
      </c>
      <c r="U31" t="s">
        <v>439</v>
      </c>
    </row>
    <row r="32" spans="1:21" x14ac:dyDescent="0.2">
      <c r="E32" s="1">
        <v>18</v>
      </c>
      <c r="F32" s="1">
        <v>19</v>
      </c>
      <c r="G32" s="1">
        <v>133</v>
      </c>
      <c r="H32" s="11"/>
      <c r="I32" s="4" t="str">
        <f>VLOOKUP(E32,$B$2:$C$28,2,FALSE)</f>
        <v>R</v>
      </c>
      <c r="J32" s="4" t="str">
        <f>VLOOKUP(F32,$B$2:$C$28,2,FALSE)</f>
        <v>S</v>
      </c>
      <c r="K32" s="1">
        <v>133</v>
      </c>
      <c r="L32" t="s">
        <v>316</v>
      </c>
      <c r="M32" t="s">
        <v>317</v>
      </c>
      <c r="S32">
        <v>50193.331473214283</v>
      </c>
      <c r="T32" t="s">
        <v>0</v>
      </c>
      <c r="U32" t="s">
        <v>440</v>
      </c>
    </row>
    <row r="33" spans="5:45" x14ac:dyDescent="0.2">
      <c r="E33" s="1">
        <v>18</v>
      </c>
      <c r="F33" s="1">
        <v>21</v>
      </c>
      <c r="G33" s="1">
        <v>75</v>
      </c>
      <c r="H33" s="11"/>
      <c r="I33" s="4" t="str">
        <f>VLOOKUP(E33,$B$2:$C$28,2,FALSE)</f>
        <v>R</v>
      </c>
      <c r="J33" s="4" t="str">
        <f>VLOOKUP(F33,$B$2:$C$28,2,FALSE)</f>
        <v>U</v>
      </c>
      <c r="K33" s="1">
        <v>75</v>
      </c>
      <c r="L33" t="s">
        <v>318</v>
      </c>
      <c r="M33" t="s">
        <v>319</v>
      </c>
      <c r="S33">
        <v>465524.37974330352</v>
      </c>
      <c r="T33" t="s">
        <v>1</v>
      </c>
      <c r="U33" t="s">
        <v>441</v>
      </c>
    </row>
    <row r="34" spans="5:45" x14ac:dyDescent="0.2">
      <c r="E34" s="1">
        <v>19</v>
      </c>
      <c r="F34" s="1">
        <v>23</v>
      </c>
      <c r="G34" s="1">
        <v>201</v>
      </c>
      <c r="H34" s="11"/>
      <c r="I34" s="4" t="str">
        <f>VLOOKUP(E34,$B$2:$C$28,2,FALSE)</f>
        <v>S</v>
      </c>
      <c r="J34" s="4" t="str">
        <f>VLOOKUP(F34,$B$2:$C$28,2,FALSE)</f>
        <v>W</v>
      </c>
      <c r="K34" s="1">
        <v>201</v>
      </c>
      <c r="L34" t="s">
        <v>322</v>
      </c>
      <c r="M34" t="s">
        <v>323</v>
      </c>
      <c r="S34">
        <v>107869.67075892857</v>
      </c>
      <c r="T34" t="s">
        <v>227</v>
      </c>
      <c r="U34" t="s">
        <v>442</v>
      </c>
    </row>
    <row r="35" spans="5:45" x14ac:dyDescent="0.2">
      <c r="E35" s="1">
        <v>19</v>
      </c>
      <c r="F35" s="1">
        <v>24</v>
      </c>
      <c r="G35" s="1">
        <v>101</v>
      </c>
      <c r="H35" s="11"/>
      <c r="I35" s="4" t="str">
        <f>VLOOKUP(E35,$B$2:$C$28,2,FALSE)</f>
        <v>S</v>
      </c>
      <c r="J35" s="4" t="str">
        <f>VLOOKUP(F35,$B$2:$C$28,2,FALSE)</f>
        <v>X</v>
      </c>
      <c r="K35" s="1">
        <v>101</v>
      </c>
      <c r="L35" t="s">
        <v>324</v>
      </c>
      <c r="M35" t="s">
        <v>325</v>
      </c>
      <c r="S35">
        <v>104444.64090401786</v>
      </c>
      <c r="T35" t="s">
        <v>228</v>
      </c>
      <c r="U35" t="s">
        <v>443</v>
      </c>
    </row>
    <row r="36" spans="5:45" x14ac:dyDescent="0.2">
      <c r="E36" s="1">
        <v>20</v>
      </c>
      <c r="F36" s="1">
        <v>25</v>
      </c>
      <c r="G36" s="1">
        <v>42</v>
      </c>
      <c r="H36" s="11"/>
      <c r="I36" s="4" t="str">
        <f>VLOOKUP(E36,$B$2:$C$28,2,FALSE)</f>
        <v>T</v>
      </c>
      <c r="J36" s="4" t="str">
        <f>VLOOKUP(F36,$B$2:$C$28,2,FALSE)</f>
        <v>Y</v>
      </c>
      <c r="K36" s="1">
        <v>42</v>
      </c>
      <c r="L36" t="s">
        <v>326</v>
      </c>
      <c r="M36" t="s">
        <v>327</v>
      </c>
    </row>
    <row r="37" spans="5:45" x14ac:dyDescent="0.2">
      <c r="E37" s="1">
        <v>21</v>
      </c>
      <c r="F37" s="1">
        <v>22</v>
      </c>
      <c r="G37" s="1">
        <v>117</v>
      </c>
      <c r="H37" s="11"/>
      <c r="I37" s="4" t="str">
        <f>VLOOKUP(E37,$B$2:$C$28,2,FALSE)</f>
        <v>U</v>
      </c>
      <c r="J37" s="4" t="str">
        <f>VLOOKUP(F37,$B$2:$C$28,2,FALSE)</f>
        <v>V</v>
      </c>
      <c r="K37" s="1">
        <v>117</v>
      </c>
      <c r="L37" t="s">
        <v>328</v>
      </c>
      <c r="M37" t="s">
        <v>329</v>
      </c>
    </row>
    <row r="38" spans="5:45" x14ac:dyDescent="0.2">
      <c r="E38" s="1">
        <v>21</v>
      </c>
      <c r="F38" s="1">
        <v>23</v>
      </c>
      <c r="G38" s="1">
        <v>101</v>
      </c>
      <c r="H38" s="11"/>
      <c r="I38" s="4" t="str">
        <f>VLOOKUP(E38,$B$2:$C$28,2,FALSE)</f>
        <v>U</v>
      </c>
      <c r="J38" s="4" t="str">
        <f>VLOOKUP(F38,$B$2:$C$28,2,FALSE)</f>
        <v>W</v>
      </c>
      <c r="K38" s="1">
        <v>101</v>
      </c>
      <c r="L38" t="s">
        <v>332</v>
      </c>
      <c r="M38" t="s">
        <v>333</v>
      </c>
    </row>
    <row r="39" spans="5:45" x14ac:dyDescent="0.2">
      <c r="E39" s="1">
        <v>22</v>
      </c>
      <c r="F39" s="1">
        <v>25</v>
      </c>
      <c r="G39" s="1">
        <v>56</v>
      </c>
      <c r="H39" s="11"/>
      <c r="I39" s="4" t="str">
        <f>VLOOKUP(E39,$B$2:$C$28,2,FALSE)</f>
        <v>V</v>
      </c>
      <c r="J39" s="4" t="str">
        <f>VLOOKUP(F39,$B$2:$C$28,2,FALSE)</f>
        <v>Y</v>
      </c>
      <c r="K39" s="1">
        <v>56</v>
      </c>
      <c r="L39" t="s">
        <v>335</v>
      </c>
      <c r="M39" t="s">
        <v>336</v>
      </c>
      <c r="S39" t="s">
        <v>417</v>
      </c>
      <c r="T39" t="s">
        <v>418</v>
      </c>
      <c r="U39" t="s">
        <v>419</v>
      </c>
      <c r="V39" t="s">
        <v>420</v>
      </c>
      <c r="W39" t="s">
        <v>421</v>
      </c>
      <c r="X39" t="s">
        <v>422</v>
      </c>
      <c r="Y39" t="s">
        <v>423</v>
      </c>
      <c r="Z39" t="s">
        <v>424</v>
      </c>
      <c r="AA39" t="s">
        <v>425</v>
      </c>
      <c r="AB39" t="s">
        <v>426</v>
      </c>
      <c r="AC39" t="s">
        <v>427</v>
      </c>
      <c r="AD39" t="s">
        <v>428</v>
      </c>
      <c r="AE39" t="s">
        <v>429</v>
      </c>
      <c r="AF39" t="s">
        <v>430</v>
      </c>
      <c r="AG39" t="s">
        <v>431</v>
      </c>
      <c r="AH39" t="s">
        <v>432</v>
      </c>
      <c r="AI39" t="s">
        <v>433</v>
      </c>
      <c r="AJ39" t="s">
        <v>434</v>
      </c>
      <c r="AK39" t="s">
        <v>435</v>
      </c>
      <c r="AL39" t="s">
        <v>436</v>
      </c>
      <c r="AM39" t="s">
        <v>437</v>
      </c>
      <c r="AN39" t="s">
        <v>438</v>
      </c>
      <c r="AO39" t="s">
        <v>439</v>
      </c>
      <c r="AP39" t="s">
        <v>440</v>
      </c>
      <c r="AQ39" t="s">
        <v>441</v>
      </c>
      <c r="AR39" t="s">
        <v>442</v>
      </c>
      <c r="AS39" t="s">
        <v>443</v>
      </c>
    </row>
    <row r="40" spans="5:45" x14ac:dyDescent="0.2">
      <c r="E40" s="1">
        <v>23</v>
      </c>
      <c r="F40" s="1">
        <v>24</v>
      </c>
      <c r="G40" s="1">
        <v>230</v>
      </c>
      <c r="H40" s="11"/>
      <c r="I40" s="4" t="str">
        <f>VLOOKUP(E40,$B$2:$C$28,2,FALSE)</f>
        <v>W</v>
      </c>
      <c r="J40" s="4" t="str">
        <f>VLOOKUP(F40,$B$2:$C$28,2,FALSE)</f>
        <v>X</v>
      </c>
      <c r="K40" s="1">
        <v>230</v>
      </c>
      <c r="L40" t="s">
        <v>339</v>
      </c>
      <c r="M40" t="s">
        <v>340</v>
      </c>
      <c r="S40" t="str">
        <f>_xlfn.CONCAT(S39:AS39)</f>
        <v xml:space="preserve"> 'A' :51138, 'B' :35427, 'C' :99794, 'D' :102517, 'E' :94415, 'F' :75538, 'G' :56964, 'H' :147217, 'I' :67104, 'J' :71847, 'K' :86912, 'L' :86465, 'M' :166565, 'N' :88811, 'O' :171393, 'P' :116511, 'Q' :348047, 'R' :269207, 'S' :22297, 'T' :148218, 'U' :107293, 'V' :181531, 'W' :99033, 'X' :50193, 'Y' :465524, 'Z' :107870, 'AA' :104445,</v>
      </c>
    </row>
    <row r="41" spans="5:45" x14ac:dyDescent="0.2">
      <c r="E41" s="1">
        <v>23</v>
      </c>
      <c r="F41" s="1">
        <v>27</v>
      </c>
      <c r="G41" s="1">
        <v>79</v>
      </c>
      <c r="H41" s="11"/>
      <c r="I41" s="4" t="str">
        <f>VLOOKUP(E41,$B$2:$C$28,2,FALSE)</f>
        <v>W</v>
      </c>
      <c r="J41" s="4" t="str">
        <f>VLOOKUP(F41,$B$2:$C$28,2,FALSE)</f>
        <v>AA</v>
      </c>
      <c r="K41" s="1">
        <v>79</v>
      </c>
      <c r="L41" t="s">
        <v>341</v>
      </c>
      <c r="M41" t="s">
        <v>342</v>
      </c>
      <c r="S41" t="s">
        <v>444</v>
      </c>
    </row>
    <row r="42" spans="5:45" x14ac:dyDescent="0.2">
      <c r="E42" s="1">
        <v>24</v>
      </c>
      <c r="F42" s="1">
        <v>23</v>
      </c>
      <c r="G42" s="1">
        <v>230</v>
      </c>
      <c r="H42" s="11"/>
      <c r="I42" s="4" t="str">
        <f>VLOOKUP(E42,$B$2:$C$28,2,FALSE)</f>
        <v>X</v>
      </c>
      <c r="J42" s="4" t="str">
        <f>VLOOKUP(F42,$B$2:$C$28,2,FALSE)</f>
        <v>W</v>
      </c>
      <c r="K42" s="1">
        <v>230</v>
      </c>
      <c r="L42" t="s">
        <v>343</v>
      </c>
      <c r="M42" t="s">
        <v>344</v>
      </c>
    </row>
    <row r="43" spans="5:45" x14ac:dyDescent="0.2">
      <c r="E43" s="1">
        <v>25</v>
      </c>
      <c r="F43" s="1">
        <v>26</v>
      </c>
      <c r="G43" s="1">
        <v>37</v>
      </c>
      <c r="H43" s="11"/>
      <c r="I43" s="4" t="str">
        <f>VLOOKUP(E43,$B$2:$C$28,2,FALSE)</f>
        <v>Y</v>
      </c>
      <c r="J43" s="4" t="str">
        <f>VLOOKUP(F43,$B$2:$C$28,2,FALSE)</f>
        <v>Z</v>
      </c>
      <c r="K43" s="1">
        <v>37</v>
      </c>
      <c r="L43" t="s">
        <v>348</v>
      </c>
      <c r="M43" t="s">
        <v>349</v>
      </c>
    </row>
    <row r="44" spans="5:45" x14ac:dyDescent="0.2">
      <c r="E44" s="1">
        <v>26</v>
      </c>
      <c r="F44" s="1">
        <v>27</v>
      </c>
      <c r="G44" s="1">
        <v>131</v>
      </c>
      <c r="H44" s="11"/>
      <c r="I44" s="4" t="str">
        <f>VLOOKUP(E44,$B$2:$C$28,2,FALSE)</f>
        <v>Z</v>
      </c>
      <c r="J44" s="4" t="str">
        <f>VLOOKUP(F44,$B$2:$C$28,2,FALSE)</f>
        <v>AA</v>
      </c>
      <c r="K44" s="1">
        <v>131</v>
      </c>
      <c r="L44" t="s">
        <v>351</v>
      </c>
      <c r="M44" t="s">
        <v>352</v>
      </c>
    </row>
    <row r="45" spans="5:45" x14ac:dyDescent="0.2">
      <c r="E45" s="7">
        <v>2</v>
      </c>
      <c r="F45" s="7">
        <v>1</v>
      </c>
      <c r="G45" s="7">
        <v>267</v>
      </c>
      <c r="H45" s="3"/>
      <c r="I45" s="3" t="str">
        <f t="shared" ref="I45:I87" si="1">VLOOKUP(E45,$B$2:$C$28,2,FALSE)</f>
        <v>B</v>
      </c>
      <c r="J45" s="3" t="str">
        <f t="shared" ref="J45:J87" si="2">VLOOKUP(F45,$B$2:$C$28,2,FALSE)</f>
        <v>A</v>
      </c>
      <c r="K45" s="7">
        <v>267</v>
      </c>
      <c r="M45" t="s">
        <v>236</v>
      </c>
    </row>
    <row r="46" spans="5:45" x14ac:dyDescent="0.2">
      <c r="E46" s="7">
        <v>3</v>
      </c>
      <c r="F46" s="7">
        <v>1</v>
      </c>
      <c r="G46" s="7">
        <v>321</v>
      </c>
      <c r="H46" s="3"/>
      <c r="I46" s="3" t="str">
        <f t="shared" si="1"/>
        <v>C</v>
      </c>
      <c r="J46" s="3" t="str">
        <f t="shared" si="2"/>
        <v>A</v>
      </c>
      <c r="K46" s="7">
        <v>321</v>
      </c>
      <c r="M46" t="s">
        <v>245</v>
      </c>
    </row>
    <row r="47" spans="5:45" x14ac:dyDescent="0.2">
      <c r="E47" s="7">
        <v>5</v>
      </c>
      <c r="F47" s="7">
        <v>1</v>
      </c>
      <c r="G47" s="7">
        <v>159</v>
      </c>
      <c r="H47" s="3"/>
      <c r="I47" s="3" t="str">
        <f t="shared" si="1"/>
        <v>E</v>
      </c>
      <c r="J47" s="3" t="str">
        <f t="shared" si="2"/>
        <v>A</v>
      </c>
      <c r="K47" s="7">
        <v>159</v>
      </c>
      <c r="M47" t="s">
        <v>251</v>
      </c>
    </row>
    <row r="48" spans="5:45" x14ac:dyDescent="0.2">
      <c r="E48" s="7">
        <v>5</v>
      </c>
      <c r="F48" s="7">
        <v>2</v>
      </c>
      <c r="G48" s="7">
        <v>231</v>
      </c>
      <c r="H48" s="3"/>
      <c r="I48" s="3" t="str">
        <f t="shared" si="1"/>
        <v>E</v>
      </c>
      <c r="J48" s="3" t="str">
        <f t="shared" si="2"/>
        <v>B</v>
      </c>
      <c r="K48" s="7">
        <v>231</v>
      </c>
      <c r="M48" t="s">
        <v>253</v>
      </c>
    </row>
    <row r="49" spans="5:13" x14ac:dyDescent="0.2">
      <c r="E49" s="7">
        <v>7</v>
      </c>
      <c r="F49" s="7">
        <v>2</v>
      </c>
      <c r="G49" s="7">
        <v>167</v>
      </c>
      <c r="H49" s="3"/>
      <c r="I49" s="3" t="str">
        <f t="shared" si="1"/>
        <v>G</v>
      </c>
      <c r="J49" s="3" t="str">
        <f t="shared" si="2"/>
        <v>B</v>
      </c>
      <c r="K49" s="7">
        <v>167</v>
      </c>
      <c r="M49" t="s">
        <v>259</v>
      </c>
    </row>
    <row r="50" spans="5:13" x14ac:dyDescent="0.2">
      <c r="E50" s="7">
        <v>11</v>
      </c>
      <c r="F50" s="7">
        <v>3</v>
      </c>
      <c r="G50" s="7">
        <v>254</v>
      </c>
      <c r="H50" s="3"/>
      <c r="I50" s="3" t="str">
        <f t="shared" si="1"/>
        <v>K</v>
      </c>
      <c r="J50" s="3" t="str">
        <f t="shared" si="2"/>
        <v>C</v>
      </c>
      <c r="K50" s="7">
        <v>254</v>
      </c>
      <c r="M50" t="s">
        <v>277</v>
      </c>
    </row>
    <row r="51" spans="5:13" x14ac:dyDescent="0.2">
      <c r="E51" s="7">
        <v>4</v>
      </c>
      <c r="F51" s="7">
        <v>3</v>
      </c>
      <c r="G51" s="7">
        <v>216</v>
      </c>
      <c r="H51" s="3"/>
      <c r="I51" s="3" t="str">
        <f t="shared" si="1"/>
        <v>D</v>
      </c>
      <c r="J51" s="3" t="str">
        <f t="shared" si="2"/>
        <v>C</v>
      </c>
      <c r="K51" s="7">
        <v>216</v>
      </c>
      <c r="M51" t="s">
        <v>250</v>
      </c>
    </row>
    <row r="52" spans="5:13" x14ac:dyDescent="0.2">
      <c r="E52" s="7">
        <v>6</v>
      </c>
      <c r="F52" s="7">
        <v>4</v>
      </c>
      <c r="G52" s="7">
        <v>120</v>
      </c>
      <c r="H52" s="3"/>
      <c r="I52" s="3" t="str">
        <f t="shared" si="1"/>
        <v>F</v>
      </c>
      <c r="J52" s="3" t="str">
        <f t="shared" si="2"/>
        <v>D</v>
      </c>
      <c r="K52" s="7">
        <v>120</v>
      </c>
      <c r="M52" t="s">
        <v>254</v>
      </c>
    </row>
    <row r="53" spans="5:13" x14ac:dyDescent="0.2">
      <c r="E53" s="7">
        <v>5</v>
      </c>
      <c r="F53" s="7">
        <v>4</v>
      </c>
      <c r="G53" s="7">
        <v>70</v>
      </c>
      <c r="H53" s="3"/>
      <c r="I53" s="3" t="str">
        <f t="shared" si="1"/>
        <v>E</v>
      </c>
      <c r="J53" s="3" t="str">
        <f t="shared" si="2"/>
        <v>D</v>
      </c>
      <c r="K53" s="7">
        <v>70</v>
      </c>
      <c r="M53" t="s">
        <v>252</v>
      </c>
    </row>
    <row r="54" spans="5:13" x14ac:dyDescent="0.2">
      <c r="E54" s="7">
        <v>7</v>
      </c>
      <c r="F54" s="7">
        <v>6</v>
      </c>
      <c r="G54" s="7">
        <v>170</v>
      </c>
      <c r="H54" s="3"/>
      <c r="I54" s="3" t="str">
        <f t="shared" si="1"/>
        <v>G</v>
      </c>
      <c r="J54" s="3" t="str">
        <f t="shared" si="2"/>
        <v>F</v>
      </c>
      <c r="K54" s="7">
        <v>170</v>
      </c>
      <c r="M54" t="s">
        <v>260</v>
      </c>
    </row>
    <row r="55" spans="5:13" x14ac:dyDescent="0.2">
      <c r="E55" s="7">
        <v>9</v>
      </c>
      <c r="F55" s="7">
        <v>6</v>
      </c>
      <c r="G55" s="7">
        <v>76</v>
      </c>
      <c r="H55" s="3"/>
      <c r="I55" s="3" t="str">
        <f t="shared" si="1"/>
        <v>I</v>
      </c>
      <c r="J55" s="3" t="str">
        <f t="shared" si="2"/>
        <v>F</v>
      </c>
      <c r="K55" s="7">
        <v>76</v>
      </c>
      <c r="M55" t="s">
        <v>266</v>
      </c>
    </row>
    <row r="56" spans="5:13" x14ac:dyDescent="0.2">
      <c r="E56" s="7">
        <v>8</v>
      </c>
      <c r="F56" s="7">
        <v>7</v>
      </c>
      <c r="G56" s="7">
        <v>181</v>
      </c>
      <c r="H56" s="3"/>
      <c r="I56" s="3" t="str">
        <f t="shared" si="1"/>
        <v>H</v>
      </c>
      <c r="J56" s="3" t="str">
        <f t="shared" si="2"/>
        <v>G</v>
      </c>
      <c r="K56" s="7">
        <v>181</v>
      </c>
      <c r="M56" t="s">
        <v>265</v>
      </c>
    </row>
    <row r="57" spans="5:13" x14ac:dyDescent="0.2">
      <c r="E57" s="7">
        <v>10</v>
      </c>
      <c r="F57" s="7">
        <v>8</v>
      </c>
      <c r="G57" s="7">
        <v>131</v>
      </c>
      <c r="H57" s="3"/>
      <c r="I57" s="3" t="str">
        <f t="shared" si="1"/>
        <v>J</v>
      </c>
      <c r="J57" s="3" t="str">
        <f t="shared" si="2"/>
        <v>H</v>
      </c>
      <c r="K57" s="7">
        <v>131</v>
      </c>
      <c r="M57" t="s">
        <v>271</v>
      </c>
    </row>
    <row r="58" spans="5:13" x14ac:dyDescent="0.2">
      <c r="E58" s="7">
        <v>10</v>
      </c>
      <c r="F58" s="7">
        <v>9</v>
      </c>
      <c r="G58" s="7">
        <v>67</v>
      </c>
      <c r="H58" s="3"/>
      <c r="I58" s="3" t="str">
        <f t="shared" si="1"/>
        <v>J</v>
      </c>
      <c r="J58" s="3" t="str">
        <f t="shared" si="2"/>
        <v>I</v>
      </c>
      <c r="K58" s="7">
        <v>67</v>
      </c>
      <c r="M58" t="s">
        <v>272</v>
      </c>
    </row>
    <row r="59" spans="5:13" x14ac:dyDescent="0.2">
      <c r="E59" s="7">
        <v>12</v>
      </c>
      <c r="F59" s="7">
        <v>9</v>
      </c>
      <c r="G59" s="7">
        <v>148</v>
      </c>
      <c r="H59" s="3"/>
      <c r="I59" s="3" t="str">
        <f t="shared" si="1"/>
        <v>L</v>
      </c>
      <c r="J59" s="3" t="str">
        <f t="shared" si="2"/>
        <v>I</v>
      </c>
      <c r="K59" s="7">
        <v>148</v>
      </c>
      <c r="M59" t="s">
        <v>282</v>
      </c>
    </row>
    <row r="60" spans="5:13" x14ac:dyDescent="0.2">
      <c r="E60" s="7">
        <v>13</v>
      </c>
      <c r="F60" s="7">
        <v>10</v>
      </c>
      <c r="G60" s="7">
        <v>93</v>
      </c>
      <c r="H60" s="3"/>
      <c r="I60" s="3" t="str">
        <f t="shared" si="1"/>
        <v>M</v>
      </c>
      <c r="J60" s="3" t="str">
        <f t="shared" si="2"/>
        <v>J</v>
      </c>
      <c r="K60" s="7">
        <v>93</v>
      </c>
      <c r="M60" t="s">
        <v>287</v>
      </c>
    </row>
    <row r="61" spans="5:13" x14ac:dyDescent="0.2">
      <c r="E61" s="7">
        <v>14</v>
      </c>
      <c r="F61" s="7">
        <v>10</v>
      </c>
      <c r="G61" s="7">
        <v>44</v>
      </c>
      <c r="H61" s="3"/>
      <c r="I61" s="3" t="str">
        <f t="shared" si="1"/>
        <v>N</v>
      </c>
      <c r="J61" s="3" t="str">
        <f t="shared" si="2"/>
        <v>J</v>
      </c>
      <c r="K61" s="7">
        <v>44</v>
      </c>
      <c r="M61" t="s">
        <v>294</v>
      </c>
    </row>
    <row r="62" spans="5:13" x14ac:dyDescent="0.2">
      <c r="E62" s="7">
        <v>12</v>
      </c>
      <c r="F62" s="7">
        <v>11</v>
      </c>
      <c r="G62" s="7">
        <v>58</v>
      </c>
      <c r="H62" s="3"/>
      <c r="I62" s="3" t="str">
        <f t="shared" si="1"/>
        <v>L</v>
      </c>
      <c r="J62" s="3" t="str">
        <f t="shared" si="2"/>
        <v>K</v>
      </c>
      <c r="K62" s="7">
        <v>58</v>
      </c>
      <c r="M62" t="s">
        <v>280</v>
      </c>
    </row>
    <row r="63" spans="5:13" x14ac:dyDescent="0.2">
      <c r="E63" s="7">
        <v>9</v>
      </c>
      <c r="F63" s="7">
        <v>12</v>
      </c>
      <c r="G63" s="7">
        <v>148</v>
      </c>
      <c r="H63" s="3"/>
      <c r="I63" s="3" t="str">
        <f t="shared" si="1"/>
        <v>I</v>
      </c>
      <c r="J63" s="3" t="str">
        <f t="shared" si="2"/>
        <v>L</v>
      </c>
      <c r="K63" s="7">
        <v>148</v>
      </c>
      <c r="M63" t="s">
        <v>270</v>
      </c>
    </row>
    <row r="64" spans="5:13" x14ac:dyDescent="0.2">
      <c r="E64" s="7">
        <v>14</v>
      </c>
      <c r="F64" s="7">
        <v>12</v>
      </c>
      <c r="G64" s="7">
        <v>161</v>
      </c>
      <c r="H64" s="3"/>
      <c r="I64" s="3" t="str">
        <f t="shared" si="1"/>
        <v>N</v>
      </c>
      <c r="J64" s="3" t="str">
        <f t="shared" si="2"/>
        <v>L</v>
      </c>
      <c r="K64" s="7">
        <v>161</v>
      </c>
      <c r="M64" t="s">
        <v>300</v>
      </c>
    </row>
    <row r="65" spans="5:13" x14ac:dyDescent="0.2">
      <c r="E65" s="7">
        <v>15</v>
      </c>
      <c r="F65" s="7">
        <v>12</v>
      </c>
      <c r="G65" s="7">
        <v>105</v>
      </c>
      <c r="H65" s="3"/>
      <c r="I65" s="3" t="str">
        <f t="shared" si="1"/>
        <v>O</v>
      </c>
      <c r="J65" s="3" t="str">
        <f t="shared" si="2"/>
        <v>L</v>
      </c>
      <c r="K65" s="7">
        <v>105</v>
      </c>
      <c r="M65" t="s">
        <v>301</v>
      </c>
    </row>
    <row r="66" spans="5:13" x14ac:dyDescent="0.2">
      <c r="E66" s="7">
        <v>14</v>
      </c>
      <c r="F66" s="7">
        <v>13</v>
      </c>
      <c r="G66" s="7">
        <v>60</v>
      </c>
      <c r="H66" s="3"/>
      <c r="I66" s="3" t="str">
        <f t="shared" si="1"/>
        <v>N</v>
      </c>
      <c r="J66" s="3" t="str">
        <f t="shared" si="2"/>
        <v>M</v>
      </c>
      <c r="K66" s="7">
        <v>60</v>
      </c>
      <c r="M66" t="s">
        <v>295</v>
      </c>
    </row>
    <row r="67" spans="5:13" x14ac:dyDescent="0.2">
      <c r="E67" s="7">
        <v>19</v>
      </c>
      <c r="F67" s="7">
        <v>13</v>
      </c>
      <c r="G67" s="7">
        <v>192</v>
      </c>
      <c r="H67" s="3"/>
      <c r="I67" s="3" t="str">
        <f t="shared" si="1"/>
        <v>S</v>
      </c>
      <c r="J67" s="3" t="str">
        <f t="shared" si="2"/>
        <v>M</v>
      </c>
      <c r="K67" s="7">
        <v>192</v>
      </c>
      <c r="M67" t="s">
        <v>320</v>
      </c>
    </row>
    <row r="68" spans="5:13" x14ac:dyDescent="0.2">
      <c r="E68" s="7">
        <v>16</v>
      </c>
      <c r="F68" s="7">
        <v>13</v>
      </c>
      <c r="G68" s="7">
        <v>97</v>
      </c>
      <c r="H68" s="3"/>
      <c r="I68" s="3" t="str">
        <f t="shared" si="1"/>
        <v>P</v>
      </c>
      <c r="J68" s="3" t="str">
        <f t="shared" si="2"/>
        <v>M</v>
      </c>
      <c r="K68" s="7">
        <v>97</v>
      </c>
      <c r="M68" t="s">
        <v>309</v>
      </c>
    </row>
    <row r="69" spans="5:13" x14ac:dyDescent="0.2">
      <c r="E69" s="7">
        <v>16</v>
      </c>
      <c r="F69" s="7">
        <v>14</v>
      </c>
      <c r="G69" s="7">
        <v>67</v>
      </c>
      <c r="H69" s="3"/>
      <c r="I69" s="3" t="str">
        <f t="shared" si="1"/>
        <v>P</v>
      </c>
      <c r="J69" s="3" t="str">
        <f t="shared" si="2"/>
        <v>N</v>
      </c>
      <c r="K69" s="7">
        <v>67</v>
      </c>
      <c r="M69" t="s">
        <v>310</v>
      </c>
    </row>
    <row r="70" spans="5:13" x14ac:dyDescent="0.2">
      <c r="E70" s="7">
        <v>15</v>
      </c>
      <c r="F70" s="7">
        <v>14</v>
      </c>
      <c r="G70" s="7">
        <v>217</v>
      </c>
      <c r="H70" s="3"/>
      <c r="I70" s="3" t="str">
        <f t="shared" si="1"/>
        <v>O</v>
      </c>
      <c r="J70" s="3" t="str">
        <f t="shared" si="2"/>
        <v>N</v>
      </c>
      <c r="K70" s="7">
        <v>217</v>
      </c>
      <c r="M70" t="s">
        <v>302</v>
      </c>
    </row>
    <row r="71" spans="5:13" x14ac:dyDescent="0.2">
      <c r="E71" s="7">
        <v>16</v>
      </c>
      <c r="F71" s="7">
        <v>15</v>
      </c>
      <c r="G71" s="7">
        <v>157</v>
      </c>
      <c r="H71" s="3"/>
      <c r="I71" s="3" t="str">
        <f t="shared" si="1"/>
        <v>P</v>
      </c>
      <c r="J71" s="3" t="str">
        <f t="shared" si="2"/>
        <v>O</v>
      </c>
      <c r="K71" s="7">
        <v>157</v>
      </c>
      <c r="M71" t="s">
        <v>311</v>
      </c>
    </row>
    <row r="72" spans="5:13" x14ac:dyDescent="0.2">
      <c r="E72" s="7">
        <v>17</v>
      </c>
      <c r="F72" s="7">
        <v>15</v>
      </c>
      <c r="G72" s="7">
        <v>60</v>
      </c>
      <c r="H72" s="3"/>
      <c r="I72" s="3" t="str">
        <f t="shared" si="1"/>
        <v>Q</v>
      </c>
      <c r="J72" s="3" t="str">
        <f t="shared" si="2"/>
        <v>O</v>
      </c>
      <c r="K72" s="7">
        <v>60</v>
      </c>
      <c r="M72" t="s">
        <v>314</v>
      </c>
    </row>
    <row r="73" spans="5:13" x14ac:dyDescent="0.2">
      <c r="E73" s="7">
        <v>21</v>
      </c>
      <c r="F73" s="7">
        <v>15</v>
      </c>
      <c r="G73" s="7">
        <v>175</v>
      </c>
      <c r="H73" s="3"/>
      <c r="I73" s="3" t="str">
        <f t="shared" si="1"/>
        <v>U</v>
      </c>
      <c r="J73" s="3" t="str">
        <f t="shared" si="2"/>
        <v>O</v>
      </c>
      <c r="K73" s="7">
        <v>175</v>
      </c>
      <c r="M73" t="s">
        <v>330</v>
      </c>
    </row>
    <row r="74" spans="5:13" x14ac:dyDescent="0.2">
      <c r="E74" s="7">
        <v>18</v>
      </c>
      <c r="F74" s="7">
        <v>16</v>
      </c>
      <c r="G74" s="7">
        <v>77</v>
      </c>
      <c r="H74" s="3"/>
      <c r="I74" s="3" t="str">
        <f t="shared" si="1"/>
        <v>R</v>
      </c>
      <c r="J74" s="3" t="str">
        <f t="shared" si="2"/>
        <v>P</v>
      </c>
      <c r="K74" s="7">
        <v>77</v>
      </c>
      <c r="M74" t="s">
        <v>315</v>
      </c>
    </row>
    <row r="75" spans="5:13" x14ac:dyDescent="0.2">
      <c r="E75" s="7">
        <v>19</v>
      </c>
      <c r="F75" s="7">
        <v>18</v>
      </c>
      <c r="G75" s="7">
        <v>133</v>
      </c>
      <c r="H75" s="3"/>
      <c r="I75" s="3" t="str">
        <f t="shared" si="1"/>
        <v>S</v>
      </c>
      <c r="J75" s="3" t="str">
        <f t="shared" si="2"/>
        <v>R</v>
      </c>
      <c r="K75" s="7">
        <v>133</v>
      </c>
      <c r="M75" t="s">
        <v>321</v>
      </c>
    </row>
    <row r="76" spans="5:13" x14ac:dyDescent="0.2">
      <c r="E76" s="7">
        <v>21</v>
      </c>
      <c r="F76" s="7">
        <v>18</v>
      </c>
      <c r="G76" s="7">
        <v>75</v>
      </c>
      <c r="H76" s="3"/>
      <c r="I76" s="3" t="str">
        <f t="shared" si="1"/>
        <v>U</v>
      </c>
      <c r="J76" s="3" t="str">
        <f t="shared" si="2"/>
        <v>R</v>
      </c>
      <c r="K76" s="7">
        <v>75</v>
      </c>
      <c r="M76" t="s">
        <v>331</v>
      </c>
    </row>
    <row r="77" spans="5:13" x14ac:dyDescent="0.2">
      <c r="E77" s="7">
        <v>23</v>
      </c>
      <c r="F77" s="7">
        <v>19</v>
      </c>
      <c r="G77" s="7">
        <v>201</v>
      </c>
      <c r="H77" s="3"/>
      <c r="I77" s="3" t="str">
        <f t="shared" si="1"/>
        <v>W</v>
      </c>
      <c r="J77" s="3" t="str">
        <f t="shared" si="2"/>
        <v>S</v>
      </c>
      <c r="K77" s="7">
        <v>201</v>
      </c>
      <c r="M77" t="s">
        <v>338</v>
      </c>
    </row>
    <row r="78" spans="5:13" x14ac:dyDescent="0.2">
      <c r="E78" s="7">
        <v>24</v>
      </c>
      <c r="F78" s="7">
        <v>19</v>
      </c>
      <c r="G78" s="7">
        <v>101</v>
      </c>
      <c r="H78" s="3"/>
      <c r="I78" s="3" t="str">
        <f t="shared" si="1"/>
        <v>X</v>
      </c>
      <c r="J78" s="3" t="str">
        <f t="shared" si="2"/>
        <v>S</v>
      </c>
      <c r="K78" s="7">
        <v>101</v>
      </c>
      <c r="M78" t="s">
        <v>345</v>
      </c>
    </row>
    <row r="79" spans="5:13" x14ac:dyDescent="0.2">
      <c r="E79" s="7">
        <v>25</v>
      </c>
      <c r="F79" s="7">
        <v>20</v>
      </c>
      <c r="G79" s="7">
        <v>42</v>
      </c>
      <c r="H79" s="3"/>
      <c r="I79" s="3" t="str">
        <f t="shared" si="1"/>
        <v>Y</v>
      </c>
      <c r="J79" s="3" t="str">
        <f t="shared" si="2"/>
        <v>T</v>
      </c>
      <c r="K79" s="7">
        <v>42</v>
      </c>
      <c r="M79" t="s">
        <v>346</v>
      </c>
    </row>
    <row r="80" spans="5:13" x14ac:dyDescent="0.2">
      <c r="E80" s="7">
        <v>22</v>
      </c>
      <c r="F80" s="7">
        <v>21</v>
      </c>
      <c r="G80" s="7">
        <v>117</v>
      </c>
      <c r="H80" s="3"/>
      <c r="I80" s="3" t="str">
        <f t="shared" si="1"/>
        <v>V</v>
      </c>
      <c r="J80" s="3" t="str">
        <f t="shared" si="2"/>
        <v>U</v>
      </c>
      <c r="K80" s="7">
        <v>117</v>
      </c>
      <c r="M80" t="s">
        <v>334</v>
      </c>
    </row>
    <row r="81" spans="5:13" x14ac:dyDescent="0.2">
      <c r="E81" s="7">
        <v>23</v>
      </c>
      <c r="F81" s="7">
        <v>21</v>
      </c>
      <c r="G81" s="7">
        <v>101</v>
      </c>
      <c r="H81" s="3"/>
      <c r="I81" s="3" t="str">
        <f t="shared" si="1"/>
        <v>W</v>
      </c>
      <c r="J81" s="3" t="str">
        <f t="shared" si="2"/>
        <v>U</v>
      </c>
      <c r="K81" s="7">
        <v>101</v>
      </c>
      <c r="M81" t="s">
        <v>337</v>
      </c>
    </row>
    <row r="82" spans="5:13" x14ac:dyDescent="0.2">
      <c r="E82" s="7">
        <v>25</v>
      </c>
      <c r="F82" s="7">
        <v>22</v>
      </c>
      <c r="G82" s="7">
        <v>56</v>
      </c>
      <c r="H82" s="3"/>
      <c r="I82" s="3" t="str">
        <f t="shared" si="1"/>
        <v>Y</v>
      </c>
      <c r="J82" s="3" t="str">
        <f t="shared" si="2"/>
        <v>V</v>
      </c>
      <c r="K82" s="7">
        <v>56</v>
      </c>
      <c r="M82" t="s">
        <v>347</v>
      </c>
    </row>
    <row r="83" spans="5:13" x14ac:dyDescent="0.2">
      <c r="E83" s="7">
        <v>24</v>
      </c>
      <c r="F83" s="7">
        <v>23</v>
      </c>
      <c r="G83" s="7">
        <v>230</v>
      </c>
      <c r="H83" s="3"/>
      <c r="I83" s="3" t="str">
        <f t="shared" si="1"/>
        <v>X</v>
      </c>
      <c r="J83" s="3" t="str">
        <f t="shared" si="2"/>
        <v>W</v>
      </c>
      <c r="K83" s="7">
        <v>230</v>
      </c>
      <c r="M83" t="s">
        <v>344</v>
      </c>
    </row>
    <row r="84" spans="5:13" x14ac:dyDescent="0.2">
      <c r="E84" s="7">
        <v>27</v>
      </c>
      <c r="F84" s="7">
        <v>23</v>
      </c>
      <c r="G84" s="7">
        <v>79</v>
      </c>
      <c r="H84" s="3"/>
      <c r="I84" s="3" t="str">
        <f t="shared" si="1"/>
        <v>AA</v>
      </c>
      <c r="J84" s="3" t="str">
        <f t="shared" si="2"/>
        <v>W</v>
      </c>
      <c r="K84" s="7">
        <v>79</v>
      </c>
      <c r="M84" t="s">
        <v>353</v>
      </c>
    </row>
    <row r="85" spans="5:13" x14ac:dyDescent="0.2">
      <c r="E85" s="7">
        <v>23</v>
      </c>
      <c r="F85" s="7">
        <v>24</v>
      </c>
      <c r="G85" s="7">
        <v>230</v>
      </c>
      <c r="H85" s="3"/>
      <c r="I85" s="3" t="str">
        <f t="shared" si="1"/>
        <v>W</v>
      </c>
      <c r="J85" s="3" t="str">
        <f t="shared" si="2"/>
        <v>X</v>
      </c>
      <c r="K85" s="7">
        <v>230</v>
      </c>
      <c r="M85" t="s">
        <v>340</v>
      </c>
    </row>
    <row r="86" spans="5:13" x14ac:dyDescent="0.2">
      <c r="E86" s="7">
        <v>26</v>
      </c>
      <c r="F86" s="7">
        <v>25</v>
      </c>
      <c r="G86" s="7">
        <v>37</v>
      </c>
      <c r="H86" s="3"/>
      <c r="I86" s="3" t="str">
        <f t="shared" si="1"/>
        <v>Z</v>
      </c>
      <c r="J86" s="3" t="str">
        <f t="shared" si="2"/>
        <v>Y</v>
      </c>
      <c r="K86" s="7">
        <v>37</v>
      </c>
      <c r="M86" t="s">
        <v>350</v>
      </c>
    </row>
    <row r="87" spans="5:13" x14ac:dyDescent="0.2">
      <c r="E87" s="7">
        <v>27</v>
      </c>
      <c r="F87" s="7">
        <v>26</v>
      </c>
      <c r="G87" s="7">
        <v>131</v>
      </c>
      <c r="H87" s="3"/>
      <c r="I87" s="3" t="str">
        <f t="shared" si="1"/>
        <v>AA</v>
      </c>
      <c r="J87" s="3" t="str">
        <f t="shared" si="2"/>
        <v>Z</v>
      </c>
      <c r="K87" s="7">
        <v>131</v>
      </c>
      <c r="M87" t="s">
        <v>354</v>
      </c>
    </row>
    <row r="88" spans="5:13" x14ac:dyDescent="0.2">
      <c r="E88" s="1"/>
      <c r="F88" s="1"/>
      <c r="G88" s="1"/>
      <c r="K88" s="1"/>
    </row>
    <row r="89" spans="5:13" x14ac:dyDescent="0.2">
      <c r="E89" s="1"/>
      <c r="F89" s="1"/>
      <c r="G89" s="1"/>
      <c r="K89" s="1"/>
    </row>
    <row r="90" spans="5:13" x14ac:dyDescent="0.2">
      <c r="E90" s="1"/>
      <c r="F90" s="1"/>
      <c r="G90" s="1"/>
      <c r="K90" s="1"/>
    </row>
    <row r="91" spans="5:13" x14ac:dyDescent="0.2">
      <c r="E91" s="1"/>
      <c r="F91" s="1"/>
      <c r="G91" s="1"/>
      <c r="K91" s="1"/>
    </row>
    <row r="92" spans="5:13" x14ac:dyDescent="0.2">
      <c r="E92" s="1"/>
      <c r="F92" s="1"/>
      <c r="G92" s="1"/>
      <c r="K92" s="1"/>
    </row>
    <row r="93" spans="5:13" x14ac:dyDescent="0.2">
      <c r="E93" s="1"/>
      <c r="F93" s="1"/>
      <c r="G93" s="1"/>
      <c r="K93" s="1"/>
    </row>
    <row r="94" spans="5:13" x14ac:dyDescent="0.2">
      <c r="E94" s="1"/>
      <c r="F94" s="1"/>
      <c r="G94" s="1"/>
      <c r="K94" s="1"/>
    </row>
    <row r="95" spans="5:13" x14ac:dyDescent="0.2">
      <c r="E95" s="1"/>
      <c r="F95" s="1"/>
      <c r="G95" s="1"/>
      <c r="K95" s="1"/>
    </row>
    <row r="96" spans="5:13" x14ac:dyDescent="0.2">
      <c r="E96" s="1"/>
      <c r="F96" s="1"/>
      <c r="G96" s="1"/>
      <c r="K96" s="1"/>
    </row>
    <row r="97" spans="5:11" x14ac:dyDescent="0.2">
      <c r="E97" s="1"/>
      <c r="F97" s="1"/>
      <c r="G97" s="1"/>
      <c r="K97" s="1"/>
    </row>
    <row r="98" spans="5:11" x14ac:dyDescent="0.2">
      <c r="E98" s="1"/>
      <c r="F98" s="1"/>
      <c r="G98" s="1"/>
      <c r="K98" s="1"/>
    </row>
    <row r="99" spans="5:11" x14ac:dyDescent="0.2">
      <c r="E99" s="1"/>
      <c r="F99" s="1"/>
      <c r="G99" s="1"/>
      <c r="K99" s="1"/>
    </row>
    <row r="100" spans="5:11" x14ac:dyDescent="0.2">
      <c r="E100" s="1"/>
      <c r="F100" s="1"/>
      <c r="G100" s="1"/>
      <c r="K100" s="1"/>
    </row>
    <row r="101" spans="5:11" x14ac:dyDescent="0.2">
      <c r="E101" s="1"/>
      <c r="F101" s="1"/>
      <c r="G101" s="1"/>
      <c r="K101" s="1"/>
    </row>
    <row r="102" spans="5:11" x14ac:dyDescent="0.2">
      <c r="E102" s="1"/>
      <c r="F102" s="1"/>
      <c r="G102" s="1"/>
      <c r="K102" s="1"/>
    </row>
    <row r="103" spans="5:11" x14ac:dyDescent="0.2">
      <c r="E103" s="1"/>
      <c r="F103" s="1"/>
      <c r="G103" s="1"/>
      <c r="K103" s="1"/>
    </row>
    <row r="104" spans="5:11" x14ac:dyDescent="0.2">
      <c r="E104" s="1"/>
      <c r="F104" s="1"/>
      <c r="G104" s="1"/>
      <c r="K104" s="1"/>
    </row>
    <row r="105" spans="5:11" x14ac:dyDescent="0.2">
      <c r="E105" s="1"/>
      <c r="F105" s="1"/>
      <c r="G105" s="1"/>
      <c r="K105" s="1"/>
    </row>
    <row r="106" spans="5:11" x14ac:dyDescent="0.2">
      <c r="E106" s="1"/>
      <c r="F106" s="1"/>
      <c r="G106" s="1"/>
      <c r="K106" s="1"/>
    </row>
    <row r="107" spans="5:11" x14ac:dyDescent="0.2">
      <c r="E107" s="1"/>
      <c r="F107" s="1"/>
      <c r="G107" s="1"/>
      <c r="K107" s="1"/>
    </row>
    <row r="108" spans="5:11" x14ac:dyDescent="0.2">
      <c r="E108" s="1"/>
      <c r="F108" s="1"/>
      <c r="G108" s="1"/>
      <c r="K108" s="1"/>
    </row>
    <row r="109" spans="5:11" x14ac:dyDescent="0.2">
      <c r="E109" s="1"/>
      <c r="F109" s="1"/>
      <c r="G109" s="1"/>
      <c r="K109" s="1"/>
    </row>
    <row r="110" spans="5:11" x14ac:dyDescent="0.2">
      <c r="E110" s="1"/>
      <c r="F110" s="1"/>
      <c r="G110" s="1"/>
      <c r="K110" s="1"/>
    </row>
    <row r="111" spans="5:11" x14ac:dyDescent="0.2">
      <c r="E111" s="1"/>
      <c r="F111" s="1"/>
      <c r="G111" s="1"/>
      <c r="K111" s="1"/>
    </row>
    <row r="112" spans="5:11" x14ac:dyDescent="0.2">
      <c r="E112" s="1"/>
      <c r="F112" s="1"/>
      <c r="G112" s="1"/>
      <c r="K112" s="1"/>
    </row>
    <row r="113" spans="5:11" x14ac:dyDescent="0.2">
      <c r="E113" s="1"/>
      <c r="F113" s="1"/>
      <c r="G113" s="1"/>
      <c r="K113" s="1"/>
    </row>
    <row r="114" spans="5:11" x14ac:dyDescent="0.2">
      <c r="E114" s="1"/>
      <c r="F114" s="1"/>
      <c r="G114" s="1"/>
      <c r="K114" s="1"/>
    </row>
    <row r="115" spans="5:11" x14ac:dyDescent="0.2">
      <c r="E115" s="1"/>
      <c r="F115" s="1"/>
      <c r="G115" s="1"/>
      <c r="K115" s="1"/>
    </row>
    <row r="116" spans="5:11" x14ac:dyDescent="0.2">
      <c r="E116" s="1"/>
      <c r="F116" s="1"/>
      <c r="G116" s="1"/>
      <c r="K116" s="1"/>
    </row>
    <row r="117" spans="5:11" x14ac:dyDescent="0.2">
      <c r="E117" s="1"/>
      <c r="F117" s="1"/>
      <c r="G117" s="1"/>
      <c r="K117" s="1"/>
    </row>
    <row r="118" spans="5:11" x14ac:dyDescent="0.2">
      <c r="E118" s="1"/>
      <c r="F118" s="1"/>
      <c r="G118" s="1"/>
      <c r="K118" s="1"/>
    </row>
    <row r="119" spans="5:11" x14ac:dyDescent="0.2">
      <c r="E119" s="1"/>
      <c r="F119" s="1"/>
      <c r="G119" s="1"/>
      <c r="K119" s="1"/>
    </row>
    <row r="120" spans="5:11" x14ac:dyDescent="0.2">
      <c r="E120" s="1"/>
      <c r="F120" s="1"/>
      <c r="G120" s="1"/>
      <c r="K120" s="1"/>
    </row>
    <row r="121" spans="5:11" x14ac:dyDescent="0.2">
      <c r="E121" s="1"/>
      <c r="F121" s="1"/>
      <c r="G121" s="1"/>
      <c r="K121" s="1"/>
    </row>
    <row r="122" spans="5:11" x14ac:dyDescent="0.2">
      <c r="E122" s="1"/>
      <c r="F122" s="1"/>
      <c r="G122" s="1"/>
      <c r="K122" s="1"/>
    </row>
    <row r="123" spans="5:11" x14ac:dyDescent="0.2">
      <c r="E123" s="1"/>
      <c r="F123" s="1"/>
      <c r="G123" s="1"/>
      <c r="K123" s="1"/>
    </row>
    <row r="124" spans="5:11" x14ac:dyDescent="0.2">
      <c r="E124" s="1"/>
      <c r="F124" s="1"/>
      <c r="G124" s="1"/>
      <c r="K124" s="1"/>
    </row>
    <row r="125" spans="5:11" x14ac:dyDescent="0.2">
      <c r="E125" s="1"/>
      <c r="F125" s="1"/>
      <c r="G125" s="1"/>
      <c r="K125" s="1"/>
    </row>
    <row r="126" spans="5:11" x14ac:dyDescent="0.2">
      <c r="E126" s="1"/>
      <c r="F126" s="1"/>
      <c r="G126" s="1"/>
      <c r="K126" s="1"/>
    </row>
  </sheetData>
  <autoFilter ref="E1:K44" xr:uid="{B2132246-8219-1442-9405-CFDE37D0C8E3}">
    <sortState xmlns:xlrd2="http://schemas.microsoft.com/office/spreadsheetml/2017/richdata2" ref="E2:K44">
      <sortCondition sortBy="cellColor" ref="G1:G44" dxfId="0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Instace 1-Toronto-Montreal</vt:lpstr>
      <vt:lpstr>Instance 2- Allentown-New Haven</vt:lpstr>
      <vt:lpstr>Instance 3-Yreka-San Franciso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Gunchica Bhalla</dc:creator>
  <cp:lastModifiedBy>Gunchica Bhalla</cp:lastModifiedBy>
  <dcterms:created xsi:type="dcterms:W3CDTF">2021-11-29T10:02:47Z</dcterms:created>
  <dcterms:modified xsi:type="dcterms:W3CDTF">2021-12-03T23:51:37Z</dcterms:modified>
</cp:coreProperties>
</file>